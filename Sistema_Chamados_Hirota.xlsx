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Unidades" sheetId="2" state="visible" r:id="rId4"/>
    <sheet name="Ativos" sheetId="3" state="visible" r:id="rId5"/>
    <sheet name="Categorias" sheetId="4" state="visible" r:id="rId6"/>
    <sheet name="Prioridade_SLA" sheetId="5" state="visible" r:id="rId7"/>
    <sheet name="Chamados" sheetId="6" state="visible" r:id="rId8"/>
    <sheet name="Fluxo_Status" sheetId="7" state="visible" r:id="rId9"/>
    <sheet name="Dashboard" sheetId="8" state="visible" r:id="rId10"/>
    <sheet name="Recursos" sheetId="9" state="visible" r:id="rId11"/>
    <sheet name="Opções_Implantação" sheetId="10" state="visible" r:id="rId12"/>
    <sheet name="Listas" sheetId="11" state="visible" r:id="rId13"/>
  </sheets>
  <definedNames>
    <definedName function="false" hidden="true" localSheetId="2" name="_xlnm._FilterDatabase" vbProcedure="false">Ativos!$A$1:$H$501</definedName>
    <definedName function="false" hidden="true" localSheetId="5" name="_xlnm._FilterDatabase" vbProcedure="false">Chamados!$A$1:$V$501</definedName>
    <definedName function="false" hidden="true" localSheetId="1" name="_xlnm._FilterDatabase" vbProcedure="false">Unidades!$A$1:$I$218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<sst xmlns="http://schemas.openxmlformats.org/spreadsheetml/2006/main" count="541" uniqueCount="454">
  <si>
    <t xml:space="preserve">Sistema de Chamados de TI – Rede Hirota</t>
  </si>
  <si>
    <t xml:space="preserve">Unidades: Super, Express e Em Casa (217 lojas) – planilha-base para registro e acompanhamento de chamados</t>
  </si>
  <si>
    <t xml:space="preserve">Aba</t>
  </si>
  <si>
    <t xml:space="preserve">Para que serve</t>
  </si>
  <si>
    <t xml:space="preserve">Unidades</t>
  </si>
  <si>
    <t xml:space="preserve">Cadastro das 217 lojas (códigos U001 a U217 já criados). Preencha nome, formato, cidade, gerente e telefone. A coluna 'Chamados' conta automaticamente.</t>
  </si>
  <si>
    <t xml:space="preserve">Ativos</t>
  </si>
  <si>
    <t xml:space="preserve">Cadastro de balanças, PDVs, impressoras, roteadores, celulares etc. vinculados à unidade. Mostra quantos chamados cada equipamento já teve.</t>
  </si>
  <si>
    <t xml:space="preserve">Categorias</t>
  </si>
  <si>
    <t xml:space="preserve">Categorias e subcategorias de problema (rede, software, hardware, balança, telefonia, celular, cabos, fontes, outros).</t>
  </si>
  <si>
    <t xml:space="preserve">Prioridade_SLA</t>
  </si>
  <si>
    <t xml:space="preserve">Níveis de prioridade e prazo de atendimento (SLA) em horas. Os prazos em azul podem ser editados.</t>
  </si>
  <si>
    <t xml:space="preserve">Chamados</t>
  </si>
  <si>
    <t xml:space="preserve">Registro dos chamados. Preencha apenas as colunas de entrada; unidade, formato, SLA, prazo, tempo de resolução e 'SLA cumprido?' são calculados.</t>
  </si>
  <si>
    <t xml:space="preserve">Fluxo_Status</t>
  </si>
  <si>
    <t xml:space="preserve">Etapas pelas quais o chamado passa, do aberto ao fechado.</t>
  </si>
  <si>
    <t xml:space="preserve">Dashboard</t>
  </si>
  <si>
    <t xml:space="preserve">Indicadores: chamados por status, categoria, formato e prioridade, SLA cumprido e tempo médio de resolução.</t>
  </si>
  <si>
    <t xml:space="preserve">Recursos</t>
  </si>
  <si>
    <t xml:space="preserve">Checklist de funcionalidades recomendadas para o sistema (WhatsApp, escalonamento, relatórios etc.).</t>
  </si>
  <si>
    <t xml:space="preserve">Opções_Implantação</t>
  </si>
  <si>
    <t xml:space="preserve">Comparativo entre ferramenta pronta e sistema sob medida.</t>
  </si>
  <si>
    <t xml:space="preserve">Listas</t>
  </si>
  <si>
    <t xml:space="preserve">Listas usadas nos menus suspensos. Não apague.</t>
  </si>
  <si>
    <t xml:space="preserve">Legenda de cores</t>
  </si>
  <si>
    <t xml:space="preserve">Texto azul</t>
  </si>
  <si>
    <t xml:space="preserve">Valor digitado / editável (entrada de dados)</t>
  </si>
  <si>
    <t xml:space="preserve">Texto preto</t>
  </si>
  <si>
    <t xml:space="preserve">Fórmula calculada automaticamente – não sobrescrever</t>
  </si>
  <si>
    <t xml:space="preserve">Texto cinza itálico</t>
  </si>
  <si>
    <t xml:space="preserve">Linha de exemplo – substitua ou apague ao começar a usar</t>
  </si>
  <si>
    <t xml:space="preserve">Premissas</t>
  </si>
  <si>
    <t xml:space="preserve">1.</t>
  </si>
  <si>
    <t xml:space="preserve">SLA em horas corridas (não considera horário comercial nem fim de semana). 'Média = 1 dia útil' e 'Baixa = 3 dias úteis' foram convertidos para 24 h e 72 h.</t>
  </si>
  <si>
    <t xml:space="preserve">2.</t>
  </si>
  <si>
    <t xml:space="preserve">Os prazos de SLA (1h, 4h, 24h, 72h) são a sugestão da proposta e podem ser ajustados na aba Prioridade_SLA.</t>
  </si>
  <si>
    <t xml:space="preserve">3.</t>
  </si>
  <si>
    <t xml:space="preserve">A aba Chamados tem fórmulas prontas até a linha 501. Para mais chamados, copie as fórmulas das colunas calculadas para baixo.</t>
  </si>
  <si>
    <t xml:space="preserve">4.</t>
  </si>
  <si>
    <t xml:space="preserve">O Dashboard inclui a linha de exemplo da aba Chamados; apague-a para não contar no indicador.</t>
  </si>
  <si>
    <t xml:space="preserve">Código</t>
  </si>
  <si>
    <t xml:space="preserve">Nome da unidade</t>
  </si>
  <si>
    <t xml:space="preserve">Formato</t>
  </si>
  <si>
    <t xml:space="preserve">Cidade</t>
  </si>
  <si>
    <t xml:space="preserve">Região</t>
  </si>
  <si>
    <t xml:space="preserve">Gerente</t>
  </si>
  <si>
    <t xml:space="preserve">Telefone</t>
  </si>
  <si>
    <t xml:space="preserve">Horário de funcionamento</t>
  </si>
  <si>
    <t xml:space="preserve">U001</t>
  </si>
  <si>
    <t xml:space="preserve">Exemplo – Hirota Super Centro</t>
  </si>
  <si>
    <t xml:space="preserve">Super</t>
  </si>
  <si>
    <t xml:space="preserve">São Paulo</t>
  </si>
  <si>
    <t xml:space="preserve">Zona Sul</t>
  </si>
  <si>
    <t xml:space="preserve">Maria Silva</t>
  </si>
  <si>
    <t xml:space="preserve">(11) 90000-0000</t>
  </si>
  <si>
    <t xml:space="preserve">07:00–22:00</t>
  </si>
  <si>
    <t xml:space="preserve">U002</t>
  </si>
  <si>
    <t xml:space="preserve">U003</t>
  </si>
  <si>
    <t xml:space="preserve">U004</t>
  </si>
  <si>
    <t xml:space="preserve">U005</t>
  </si>
  <si>
    <t xml:space="preserve">U006</t>
  </si>
  <si>
    <t xml:space="preserve">U007</t>
  </si>
  <si>
    <t xml:space="preserve">U008</t>
  </si>
  <si>
    <t xml:space="preserve">U009</t>
  </si>
  <si>
    <t xml:space="preserve">U010</t>
  </si>
  <si>
    <t xml:space="preserve">U011</t>
  </si>
  <si>
    <t xml:space="preserve">U012</t>
  </si>
  <si>
    <t xml:space="preserve">U013</t>
  </si>
  <si>
    <t xml:space="preserve">U014</t>
  </si>
  <si>
    <t xml:space="preserve">U015</t>
  </si>
  <si>
    <t xml:space="preserve">U016</t>
  </si>
  <si>
    <t xml:space="preserve">U017</t>
  </si>
  <si>
    <t xml:space="preserve">U018</t>
  </si>
  <si>
    <t xml:space="preserve">U019</t>
  </si>
  <si>
    <t xml:space="preserve">U020</t>
  </si>
  <si>
    <t xml:space="preserve">U021</t>
  </si>
  <si>
    <t xml:space="preserve">U022</t>
  </si>
  <si>
    <t xml:space="preserve">U023</t>
  </si>
  <si>
    <t xml:space="preserve">U024</t>
  </si>
  <si>
    <t xml:space="preserve">U025</t>
  </si>
  <si>
    <t xml:space="preserve">U026</t>
  </si>
  <si>
    <t xml:space="preserve">U027</t>
  </si>
  <si>
    <t xml:space="preserve">U028</t>
  </si>
  <si>
    <t xml:space="preserve">U029</t>
  </si>
  <si>
    <t xml:space="preserve">U030</t>
  </si>
  <si>
    <t xml:space="preserve">U031</t>
  </si>
  <si>
    <t xml:space="preserve">U032</t>
  </si>
  <si>
    <t xml:space="preserve">U033</t>
  </si>
  <si>
    <t xml:space="preserve">U034</t>
  </si>
  <si>
    <t xml:space="preserve">U035</t>
  </si>
  <si>
    <t xml:space="preserve">U036</t>
  </si>
  <si>
    <t xml:space="preserve">U037</t>
  </si>
  <si>
    <t xml:space="preserve">U038</t>
  </si>
  <si>
    <t xml:space="preserve">U039</t>
  </si>
  <si>
    <t xml:space="preserve">U040</t>
  </si>
  <si>
    <t xml:space="preserve">U041</t>
  </si>
  <si>
    <t xml:space="preserve">U042</t>
  </si>
  <si>
    <t xml:space="preserve">U043</t>
  </si>
  <si>
    <t xml:space="preserve">U044</t>
  </si>
  <si>
    <t xml:space="preserve">U045</t>
  </si>
  <si>
    <t xml:space="preserve">U046</t>
  </si>
  <si>
    <t xml:space="preserve">U047</t>
  </si>
  <si>
    <t xml:space="preserve">U048</t>
  </si>
  <si>
    <t xml:space="preserve">U049</t>
  </si>
  <si>
    <t xml:space="preserve">U050</t>
  </si>
  <si>
    <t xml:space="preserve">U051</t>
  </si>
  <si>
    <t xml:space="preserve">U052</t>
  </si>
  <si>
    <t xml:space="preserve">U053</t>
  </si>
  <si>
    <t xml:space="preserve">U054</t>
  </si>
  <si>
    <t xml:space="preserve">U055</t>
  </si>
  <si>
    <t xml:space="preserve">U056</t>
  </si>
  <si>
    <t xml:space="preserve">U057</t>
  </si>
  <si>
    <t xml:space="preserve">U058</t>
  </si>
  <si>
    <t xml:space="preserve">U059</t>
  </si>
  <si>
    <t xml:space="preserve">U060</t>
  </si>
  <si>
    <t xml:space="preserve">U061</t>
  </si>
  <si>
    <t xml:space="preserve">U062</t>
  </si>
  <si>
    <t xml:space="preserve">U063</t>
  </si>
  <si>
    <t xml:space="preserve">U064</t>
  </si>
  <si>
    <t xml:space="preserve">U065</t>
  </si>
  <si>
    <t xml:space="preserve">U066</t>
  </si>
  <si>
    <t xml:space="preserve">U067</t>
  </si>
  <si>
    <t xml:space="preserve">U068</t>
  </si>
  <si>
    <t xml:space="preserve">U069</t>
  </si>
  <si>
    <t xml:space="preserve">U070</t>
  </si>
  <si>
    <t xml:space="preserve">U071</t>
  </si>
  <si>
    <t xml:space="preserve">U072</t>
  </si>
  <si>
    <t xml:space="preserve">U073</t>
  </si>
  <si>
    <t xml:space="preserve">U074</t>
  </si>
  <si>
    <t xml:space="preserve">U075</t>
  </si>
  <si>
    <t xml:space="preserve">U076</t>
  </si>
  <si>
    <t xml:space="preserve">U077</t>
  </si>
  <si>
    <t xml:space="preserve">U078</t>
  </si>
  <si>
    <t xml:space="preserve">U079</t>
  </si>
  <si>
    <t xml:space="preserve">U080</t>
  </si>
  <si>
    <t xml:space="preserve">U081</t>
  </si>
  <si>
    <t xml:space="preserve">U082</t>
  </si>
  <si>
    <t xml:space="preserve">U083</t>
  </si>
  <si>
    <t xml:space="preserve">U084</t>
  </si>
  <si>
    <t xml:space="preserve">U085</t>
  </si>
  <si>
    <t xml:space="preserve">U086</t>
  </si>
  <si>
    <t xml:space="preserve">U087</t>
  </si>
  <si>
    <t xml:space="preserve">U088</t>
  </si>
  <si>
    <t xml:space="preserve">U089</t>
  </si>
  <si>
    <t xml:space="preserve">U090</t>
  </si>
  <si>
    <t xml:space="preserve">U091</t>
  </si>
  <si>
    <t xml:space="preserve">U092</t>
  </si>
  <si>
    <t xml:space="preserve">U093</t>
  </si>
  <si>
    <t xml:space="preserve">U094</t>
  </si>
  <si>
    <t xml:space="preserve">U095</t>
  </si>
  <si>
    <t xml:space="preserve">U096</t>
  </si>
  <si>
    <t xml:space="preserve">U097</t>
  </si>
  <si>
    <t xml:space="preserve">U098</t>
  </si>
  <si>
    <t xml:space="preserve">U099</t>
  </si>
  <si>
    <t xml:space="preserve">U100</t>
  </si>
  <si>
    <t xml:space="preserve">U101</t>
  </si>
  <si>
    <t xml:space="preserve">U102</t>
  </si>
  <si>
    <t xml:space="preserve">U103</t>
  </si>
  <si>
    <t xml:space="preserve">U104</t>
  </si>
  <si>
    <t xml:space="preserve">U105</t>
  </si>
  <si>
    <t xml:space="preserve">U106</t>
  </si>
  <si>
    <t xml:space="preserve">U107</t>
  </si>
  <si>
    <t xml:space="preserve">U108</t>
  </si>
  <si>
    <t xml:space="preserve">U109</t>
  </si>
  <si>
    <t xml:space="preserve">U110</t>
  </si>
  <si>
    <t xml:space="preserve">U111</t>
  </si>
  <si>
    <t xml:space="preserve">U112</t>
  </si>
  <si>
    <t xml:space="preserve">U113</t>
  </si>
  <si>
    <t xml:space="preserve">U114</t>
  </si>
  <si>
    <t xml:space="preserve">U115</t>
  </si>
  <si>
    <t xml:space="preserve">U116</t>
  </si>
  <si>
    <t xml:space="preserve">U117</t>
  </si>
  <si>
    <t xml:space="preserve">U118</t>
  </si>
  <si>
    <t xml:space="preserve">U119</t>
  </si>
  <si>
    <t xml:space="preserve">U120</t>
  </si>
  <si>
    <t xml:space="preserve">U121</t>
  </si>
  <si>
    <t xml:space="preserve">U122</t>
  </si>
  <si>
    <t xml:space="preserve">U123</t>
  </si>
  <si>
    <t xml:space="preserve">U124</t>
  </si>
  <si>
    <t xml:space="preserve">U125</t>
  </si>
  <si>
    <t xml:space="preserve">U126</t>
  </si>
  <si>
    <t xml:space="preserve">U127</t>
  </si>
  <si>
    <t xml:space="preserve">U128</t>
  </si>
  <si>
    <t xml:space="preserve">U129</t>
  </si>
  <si>
    <t xml:space="preserve">U130</t>
  </si>
  <si>
    <t xml:space="preserve">U131</t>
  </si>
  <si>
    <t xml:space="preserve">U132</t>
  </si>
  <si>
    <t xml:space="preserve">U133</t>
  </si>
  <si>
    <t xml:space="preserve">U134</t>
  </si>
  <si>
    <t xml:space="preserve">U135</t>
  </si>
  <si>
    <t xml:space="preserve">U136</t>
  </si>
  <si>
    <t xml:space="preserve">U137</t>
  </si>
  <si>
    <t xml:space="preserve">U138</t>
  </si>
  <si>
    <t xml:space="preserve">U139</t>
  </si>
  <si>
    <t xml:space="preserve">U140</t>
  </si>
  <si>
    <t xml:space="preserve">U141</t>
  </si>
  <si>
    <t xml:space="preserve">U142</t>
  </si>
  <si>
    <t xml:space="preserve">U143</t>
  </si>
  <si>
    <t xml:space="preserve">U144</t>
  </si>
  <si>
    <t xml:space="preserve">U145</t>
  </si>
  <si>
    <t xml:space="preserve">U146</t>
  </si>
  <si>
    <t xml:space="preserve">U147</t>
  </si>
  <si>
    <t xml:space="preserve">U148</t>
  </si>
  <si>
    <t xml:space="preserve">U149</t>
  </si>
  <si>
    <t xml:space="preserve">U150</t>
  </si>
  <si>
    <t xml:space="preserve">U151</t>
  </si>
  <si>
    <t xml:space="preserve">U152</t>
  </si>
  <si>
    <t xml:space="preserve">U153</t>
  </si>
  <si>
    <t xml:space="preserve">U154</t>
  </si>
  <si>
    <t xml:space="preserve">U155</t>
  </si>
  <si>
    <t xml:space="preserve">U156</t>
  </si>
  <si>
    <t xml:space="preserve">U157</t>
  </si>
  <si>
    <t xml:space="preserve">U158</t>
  </si>
  <si>
    <t xml:space="preserve">U159</t>
  </si>
  <si>
    <t xml:space="preserve">U160</t>
  </si>
  <si>
    <t xml:space="preserve">U161</t>
  </si>
  <si>
    <t xml:space="preserve">U162</t>
  </si>
  <si>
    <t xml:space="preserve">U163</t>
  </si>
  <si>
    <t xml:space="preserve">U164</t>
  </si>
  <si>
    <t xml:space="preserve">U165</t>
  </si>
  <si>
    <t xml:space="preserve">U166</t>
  </si>
  <si>
    <t xml:space="preserve">U167</t>
  </si>
  <si>
    <t xml:space="preserve">U168</t>
  </si>
  <si>
    <t xml:space="preserve">U169</t>
  </si>
  <si>
    <t xml:space="preserve">U170</t>
  </si>
  <si>
    <t xml:space="preserve">U171</t>
  </si>
  <si>
    <t xml:space="preserve">U172</t>
  </si>
  <si>
    <t xml:space="preserve">U173</t>
  </si>
  <si>
    <t xml:space="preserve">U174</t>
  </si>
  <si>
    <t xml:space="preserve">U175</t>
  </si>
  <si>
    <t xml:space="preserve">U176</t>
  </si>
  <si>
    <t xml:space="preserve">U177</t>
  </si>
  <si>
    <t xml:space="preserve">U178</t>
  </si>
  <si>
    <t xml:space="preserve">U179</t>
  </si>
  <si>
    <t xml:space="preserve">U180</t>
  </si>
  <si>
    <t xml:space="preserve">U181</t>
  </si>
  <si>
    <t xml:space="preserve">U182</t>
  </si>
  <si>
    <t xml:space="preserve">U183</t>
  </si>
  <si>
    <t xml:space="preserve">U184</t>
  </si>
  <si>
    <t xml:space="preserve">U185</t>
  </si>
  <si>
    <t xml:space="preserve">U186</t>
  </si>
  <si>
    <t xml:space="preserve">U187</t>
  </si>
  <si>
    <t xml:space="preserve">U188</t>
  </si>
  <si>
    <t xml:space="preserve">U189</t>
  </si>
  <si>
    <t xml:space="preserve">U190</t>
  </si>
  <si>
    <t xml:space="preserve">U191</t>
  </si>
  <si>
    <t xml:space="preserve">U192</t>
  </si>
  <si>
    <t xml:space="preserve">U193</t>
  </si>
  <si>
    <t xml:space="preserve">U194</t>
  </si>
  <si>
    <t xml:space="preserve">U195</t>
  </si>
  <si>
    <t xml:space="preserve">U196</t>
  </si>
  <si>
    <t xml:space="preserve">U197</t>
  </si>
  <si>
    <t xml:space="preserve">U198</t>
  </si>
  <si>
    <t xml:space="preserve">U199</t>
  </si>
  <si>
    <t xml:space="preserve">U200</t>
  </si>
  <si>
    <t xml:space="preserve">U201</t>
  </si>
  <si>
    <t xml:space="preserve">U202</t>
  </si>
  <si>
    <t xml:space="preserve">U203</t>
  </si>
  <si>
    <t xml:space="preserve">U204</t>
  </si>
  <si>
    <t xml:space="preserve">U205</t>
  </si>
  <si>
    <t xml:space="preserve">U206</t>
  </si>
  <si>
    <t xml:space="preserve">U207</t>
  </si>
  <si>
    <t xml:space="preserve">U208</t>
  </si>
  <si>
    <t xml:space="preserve">U209</t>
  </si>
  <si>
    <t xml:space="preserve">U210</t>
  </si>
  <si>
    <t xml:space="preserve">U211</t>
  </si>
  <si>
    <t xml:space="preserve">U212</t>
  </si>
  <si>
    <t xml:space="preserve">U213</t>
  </si>
  <si>
    <t xml:space="preserve">U214</t>
  </si>
  <si>
    <t xml:space="preserve">U215</t>
  </si>
  <si>
    <t xml:space="preserve">U216</t>
  </si>
  <si>
    <t xml:space="preserve">U217</t>
  </si>
  <si>
    <t xml:space="preserve">Patrimônio</t>
  </si>
  <si>
    <t xml:space="preserve">Tipo</t>
  </si>
  <si>
    <t xml:space="preserve">Modelo</t>
  </si>
  <si>
    <t xml:space="preserve">Nº de série</t>
  </si>
  <si>
    <t xml:space="preserve">Cód. unidade</t>
  </si>
  <si>
    <t xml:space="preserve">Unidade</t>
  </si>
  <si>
    <t xml:space="preserve">Status</t>
  </si>
  <si>
    <t xml:space="preserve">PAT-00001</t>
  </si>
  <si>
    <t xml:space="preserve">Balança</t>
  </si>
  <si>
    <t xml:space="preserve">Exemplo – Balança 15 kg</t>
  </si>
  <si>
    <t xml:space="preserve">SN123456</t>
  </si>
  <si>
    <t xml:space="preserve">Em uso</t>
  </si>
  <si>
    <t xml:space="preserve">Categoria</t>
  </si>
  <si>
    <t xml:space="preserve">Subcategorias (exemplos)</t>
  </si>
  <si>
    <t xml:space="preserve">Rede</t>
  </si>
  <si>
    <t xml:space="preserve">Sem internet, lentidão, Wi-Fi, link de operadora, switch/roteador</t>
  </si>
  <si>
    <t xml:space="preserve">Software</t>
  </si>
  <si>
    <t xml:space="preserve">Sistema de PDV, ERP, retaguarda, e-mail, acesso/senha</t>
  </si>
  <si>
    <t xml:space="preserve">Hardware</t>
  </si>
  <si>
    <t xml:space="preserve">Computador, monitor, impressora, leitor de código de barras, nobreak</t>
  </si>
  <si>
    <t xml:space="preserve">Não liga, calibração, etiqueta, integração com PDV</t>
  </si>
  <si>
    <t xml:space="preserve">Telefonia fixa</t>
  </si>
  <si>
    <t xml:space="preserve">Ramal mudo, linha cortada, PABX</t>
  </si>
  <si>
    <t xml:space="preserve">Celular/coletor</t>
  </si>
  <si>
    <t xml:space="preserve">Defeito, bloqueio, aplicativo, troca de aparelho</t>
  </si>
  <si>
    <t xml:space="preserve">Cabos</t>
  </si>
  <si>
    <t xml:space="preserve">Rede, energia, HDMI, troca ou passagem de cabo</t>
  </si>
  <si>
    <t xml:space="preserve">Fontes/energia</t>
  </si>
  <si>
    <t xml:space="preserve">Fonte de PC, fonte de impressora, nobreak, tomada</t>
  </si>
  <si>
    <t xml:space="preserve">Outros</t>
  </si>
  <si>
    <t xml:space="preserve">Qualquer item fora da lista</t>
  </si>
  <si>
    <t xml:space="preserve">Prioridade</t>
  </si>
  <si>
    <t xml:space="preserve">SLA (horas)</t>
  </si>
  <si>
    <t xml:space="preserve">Prazo de atendimento</t>
  </si>
  <si>
    <t xml:space="preserve">Quando usar</t>
  </si>
  <si>
    <t xml:space="preserve">Crítica</t>
  </si>
  <si>
    <t xml:space="preserve">Até 1 hora</t>
  </si>
  <si>
    <t xml:space="preserve">PDV parado, loja sem internet</t>
  </si>
  <si>
    <t xml:space="preserve">Alta</t>
  </si>
  <si>
    <t xml:space="preserve">Até 4 horas</t>
  </si>
  <si>
    <t xml:space="preserve">Balança parada, impressora fiscal com defeito</t>
  </si>
  <si>
    <t xml:space="preserve">Média</t>
  </si>
  <si>
    <t xml:space="preserve">Até 1 dia útil (24 h)</t>
  </si>
  <si>
    <t xml:space="preserve">Lentidão, periférico com falha</t>
  </si>
  <si>
    <t xml:space="preserve">Baixa</t>
  </si>
  <si>
    <t xml:space="preserve">Até 3 dias úteis (72 h)</t>
  </si>
  <si>
    <t xml:space="preserve">Solicitação ou melhoria</t>
  </si>
  <si>
    <t xml:space="preserve">Regra sugerida:</t>
  </si>
  <si>
    <t xml:space="preserve">Elevar automaticamente a prioridade quando o chamado for de PDV ou rede em horário de funcionamento da loja (a ser implementado no sistema).</t>
  </si>
  <si>
    <t xml:space="preserve">Premissa:</t>
  </si>
  <si>
    <t xml:space="preserve">SLA em horas corridas; 'dia útil' convertido para 24 h por simplificação. Ajuste os valores em azul conforme a política da rede.</t>
  </si>
  <si>
    <t xml:space="preserve">ID</t>
  </si>
  <si>
    <t xml:space="preserve">Data/hora abertura</t>
  </si>
  <si>
    <t xml:space="preserve">Solicitante</t>
  </si>
  <si>
    <t xml:space="preserve">Contato</t>
  </si>
  <si>
    <t xml:space="preserve">Subcategoria</t>
  </si>
  <si>
    <t xml:space="preserve">Ativo (patrimônio)</t>
  </si>
  <si>
    <t xml:space="preserve">Descrição</t>
  </si>
  <si>
    <t xml:space="preserve">SLA (h)</t>
  </si>
  <si>
    <t xml:space="preserve">Prazo limite</t>
  </si>
  <si>
    <t xml:space="preserve">Técnico responsável</t>
  </si>
  <si>
    <t xml:space="preserve">Data/hora resolução</t>
  </si>
  <si>
    <t xml:space="preserve">Tempo de resolução (h)</t>
  </si>
  <si>
    <t xml:space="preserve">SLA cumprido?</t>
  </si>
  <si>
    <t xml:space="preserve">Solução aplicada</t>
  </si>
  <si>
    <t xml:space="preserve">Peça trocada</t>
  </si>
  <si>
    <t xml:space="preserve">Foto/anexo (link)</t>
  </si>
  <si>
    <t xml:space="preserve">CH-0001</t>
  </si>
  <si>
    <t xml:space="preserve">João (gerente)</t>
  </si>
  <si>
    <t xml:space="preserve">(11) 90000-0001</t>
  </si>
  <si>
    <t xml:space="preserve">Não liga</t>
  </si>
  <si>
    <t xml:space="preserve">Exemplo: balança do açougue não liga após queda de energia</t>
  </si>
  <si>
    <t xml:space="preserve">Resolvido</t>
  </si>
  <si>
    <t xml:space="preserve">Carlos (TI)</t>
  </si>
  <si>
    <t xml:space="preserve">Trocada a fonte de alimentação</t>
  </si>
  <si>
    <t xml:space="preserve">Fonte 12V</t>
  </si>
  <si>
    <t xml:space="preserve">Ordem</t>
  </si>
  <si>
    <t xml:space="preserve">O que significa</t>
  </si>
  <si>
    <t xml:space="preserve">Aberto</t>
  </si>
  <si>
    <t xml:space="preserve">Chamado registrado pela loja.</t>
  </si>
  <si>
    <t xml:space="preserve">Triagem</t>
  </si>
  <si>
    <t xml:space="preserve">TI avalia categoria, prioridade e define o responsável.</t>
  </si>
  <si>
    <t xml:space="preserve">Em atendimento</t>
  </si>
  <si>
    <t xml:space="preserve">Técnico trabalhando na solução (remota ou presencial).</t>
  </si>
  <si>
    <t xml:space="preserve">Aguardando peça/fornecedor</t>
  </si>
  <si>
    <t xml:space="preserve">Depende de peça, envio de equipamento ou retorno de fornecedor/operadora.</t>
  </si>
  <si>
    <t xml:space="preserve">Solução aplicada; aguardando confirmação da loja.</t>
  </si>
  <si>
    <t xml:space="preserve">Fechado</t>
  </si>
  <si>
    <t xml:space="preserve">Loja confirmou a solução e o chamado foi encerrado.</t>
  </si>
  <si>
    <t xml:space="preserve">Dashboard de Chamados – Rede Hirota</t>
  </si>
  <si>
    <t xml:space="preserve">Total de chamados</t>
  </si>
  <si>
    <t xml:space="preserve">Chamados em aberto (exceto Resolvido/Fechado)</t>
  </si>
  <si>
    <t xml:space="preserve">Chamados resolvidos/fechados</t>
  </si>
  <si>
    <t xml:space="preserve">% SLA cumprido</t>
  </si>
  <si>
    <t xml:space="preserve">Tempo médio de resolução (h)</t>
  </si>
  <si>
    <t xml:space="preserve">Por status</t>
  </si>
  <si>
    <t xml:space="preserve">Item</t>
  </si>
  <si>
    <t xml:space="preserve">Por categoria</t>
  </si>
  <si>
    <t xml:space="preserve">Tempo médio (h)</t>
  </si>
  <si>
    <t xml:space="preserve">Por formato de loja</t>
  </si>
  <si>
    <t xml:space="preserve">Express</t>
  </si>
  <si>
    <t xml:space="preserve">Em Casa</t>
  </si>
  <si>
    <t xml:space="preserve">Por prioridade</t>
  </si>
  <si>
    <t xml:space="preserve">Recurso</t>
  </si>
  <si>
    <t xml:space="preserve">Abertura pelo celular ou WhatsApp</t>
  </si>
  <si>
    <t xml:space="preserve">A loja raramente está em frente a um computador; abertura simples é essencial.</t>
  </si>
  <si>
    <t xml:space="preserve">Pendente</t>
  </si>
  <si>
    <t xml:space="preserve">Notificações automáticas</t>
  </si>
  <si>
    <t xml:space="preserve">Avisos por e-mail ou WhatsApp a cada mudança de status.</t>
  </si>
  <si>
    <t xml:space="preserve">Escalonamento por SLA</t>
  </si>
  <si>
    <t xml:space="preserve">Alerta ao supervisor quando o prazo do chamado estoura.</t>
  </si>
  <si>
    <t xml:space="preserve">Chamados por unidade, categoria, formato e tempo médio de resolução.</t>
  </si>
  <si>
    <t xml:space="preserve">Controle de peças e equipamentos enviados</t>
  </si>
  <si>
    <t xml:space="preserve">Registro do que foi enviado às lojas e do retorno.</t>
  </si>
  <si>
    <t xml:space="preserve">Relatório mensal de reincidência</t>
  </si>
  <si>
    <t xml:space="preserve">Identifica lojas e equipamentos problemáticos.</t>
  </si>
  <si>
    <t xml:space="preserve">Anexo de foto</t>
  </si>
  <si>
    <t xml:space="preserve">Muito útil para cabos, fontes e equipamentos danificados.</t>
  </si>
  <si>
    <t xml:space="preserve">Confirmação de fechamento pela loja</t>
  </si>
  <si>
    <t xml:space="preserve">Chamado só é fechado após a loja confirmar a solução.</t>
  </si>
  <si>
    <t xml:space="preserve">Opção</t>
  </si>
  <si>
    <t xml:space="preserve">Exemplos / quando faz sentido</t>
  </si>
  <si>
    <t xml:space="preserve">Vantagens</t>
  </si>
  <si>
    <t xml:space="preserve">Pontos de atenção</t>
  </si>
  <si>
    <t xml:space="preserve">Ferramenta pronta</t>
  </si>
  <si>
    <t xml:space="preserve">GLPI (gratuito, com gestão de ativos), Freshdesk, Zoho Desk, Movidesk</t>
  </si>
  <si>
    <t xml:space="preserve">Implantação rápida; SLA e relatórios já incluídos</t>
  </si>
  <si>
    <t xml:space="preserve">Personalização limitada ao que a ferramenta oferece</t>
  </si>
  <si>
    <t xml:space="preserve">Sob medida</t>
  </si>
  <si>
    <t xml:space="preserve">Fluxo muito específico da rede Hirota, integração com cadastro de lojas ou WhatsApp</t>
  </si>
  <si>
    <t xml:space="preserve">Aderência total ao processo da rede</t>
  </si>
  <si>
    <t xml:space="preserve">Maior prazo e custo de desenvolvimento e manutenção</t>
  </si>
  <si>
    <t xml:space="preserve">Subcategorias</t>
  </si>
  <si>
    <t xml:space="preserve">Prioridades</t>
  </si>
  <si>
    <t xml:space="preserve">Formatos</t>
  </si>
  <si>
    <t xml:space="preserve">Tipos de ativo</t>
  </si>
  <si>
    <t xml:space="preserve">Status do ativo</t>
  </si>
  <si>
    <t xml:space="preserve">Status do recurso</t>
  </si>
  <si>
    <t xml:space="preserve">Sem internet</t>
  </si>
  <si>
    <t xml:space="preserve">Lentidão</t>
  </si>
  <si>
    <t xml:space="preserve">PDV</t>
  </si>
  <si>
    <t xml:space="preserve">Em manutenção</t>
  </si>
  <si>
    <t xml:space="preserve">Em andamento</t>
  </si>
  <si>
    <t xml:space="preserve">Wi-Fi</t>
  </si>
  <si>
    <t xml:space="preserve">Computador</t>
  </si>
  <si>
    <t xml:space="preserve">Reserva</t>
  </si>
  <si>
    <t xml:space="preserve">Concluído</t>
  </si>
  <si>
    <t xml:space="preserve">Link de operadora</t>
  </si>
  <si>
    <t xml:space="preserve">Impressora</t>
  </si>
  <si>
    <t xml:space="preserve">Baixado</t>
  </si>
  <si>
    <t xml:space="preserve">Switch/roteador</t>
  </si>
  <si>
    <t xml:space="preserve">Roteador</t>
  </si>
  <si>
    <t xml:space="preserve">Sistema de PDV</t>
  </si>
  <si>
    <t xml:space="preserve">Switch</t>
  </si>
  <si>
    <t xml:space="preserve">ERP</t>
  </si>
  <si>
    <t xml:space="preserve">Nobreak</t>
  </si>
  <si>
    <t xml:space="preserve">Retaguarda</t>
  </si>
  <si>
    <t xml:space="preserve">Celular</t>
  </si>
  <si>
    <t xml:space="preserve">E-mail</t>
  </si>
  <si>
    <t xml:space="preserve">Coletor</t>
  </si>
  <si>
    <t xml:space="preserve">Acesso/senha</t>
  </si>
  <si>
    <t xml:space="preserve">Telefone fixo</t>
  </si>
  <si>
    <t xml:space="preserve">Outro</t>
  </si>
  <si>
    <t xml:space="preserve">Monitor</t>
  </si>
  <si>
    <t xml:space="preserve">Leitor de código de barras</t>
  </si>
  <si>
    <t xml:space="preserve">Calibração</t>
  </si>
  <si>
    <t xml:space="preserve">Etiqueta</t>
  </si>
  <si>
    <t xml:space="preserve">Integração com PDV</t>
  </si>
  <si>
    <t xml:space="preserve">Ramal mudo</t>
  </si>
  <si>
    <t xml:space="preserve">Linha cortada</t>
  </si>
  <si>
    <t xml:space="preserve">PABX</t>
  </si>
  <si>
    <t xml:space="preserve">Defeito</t>
  </si>
  <si>
    <t xml:space="preserve">Bloqueio</t>
  </si>
  <si>
    <t xml:space="preserve">Aplicativo</t>
  </si>
  <si>
    <t xml:space="preserve">Troca de aparelho</t>
  </si>
  <si>
    <t xml:space="preserve">Cabo de rede</t>
  </si>
  <si>
    <t xml:space="preserve">Cabo de energia</t>
  </si>
  <si>
    <t xml:space="preserve">Cabo HDMI</t>
  </si>
  <si>
    <t xml:space="preserve">Troca/passagem de cabo</t>
  </si>
  <si>
    <t xml:space="preserve">Fonte de PC</t>
  </si>
  <si>
    <t xml:space="preserve">Fonte de impressora</t>
  </si>
  <si>
    <t xml:space="preserve">Tomada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</si>
</sst>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dd/mm/yyyy\ hh:mm"/>
    <numFmt numFmtId="167" formatCode="0.0"/>
    <numFmt numFmtId="168" formatCode="0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Chamados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Dashboard!B21</c:f>
              <c:strCache>
                <c:ptCount val="1"/>
                <c:pt idx="0">
                  <c:v>Chamados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Dashboard!$A$22:$A$30</c:f>
              <c:strCache>
                <c:ptCount val="9"/>
                <c:pt idx="0">
                  <c:v>Rede</c:v>
                </c:pt>
                <c:pt idx="1">
                  <c:v>Software</c:v>
                </c:pt>
                <c:pt idx="2">
                  <c:v>Hardware</c:v>
                </c:pt>
                <c:pt idx="3">
                  <c:v>Balança</c:v>
                </c:pt>
                <c:pt idx="4">
                  <c:v>Telefonia fixa</c:v>
                </c:pt>
                <c:pt idx="5">
                  <c:v>Celular/coletor</c:v>
                </c:pt>
                <c:pt idx="6">
                  <c:v>Cabos</c:v>
                </c:pt>
                <c:pt idx="7">
                  <c:v>Fontes/energia</c:v>
                </c:pt>
                <c:pt idx="8">
                  <c:v>Outros</c:v>
                </c:pt>
              </c:strCache>
            </c:strRef>
          </c:cat>
          <c:val>
            <c:numRef>
              <c:f>Dashboard!$B$22:$B$30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22812545"/>
        <c:axId val="73782181"/>
      </c:barChart>
      <c:catAx>
        <c:axId val="228125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82181"/>
        <c:crosses val="autoZero"/>
        <c:auto val="1"/>
        <c:lblAlgn val="ctr"/>
        <c:lblOffset val="100"/>
        <c:noMultiLvlLbl val="0"/>
      </c:catAx>
      <c:valAx>
        <c:axId val="737821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125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Chamados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Dashboard!B11</c:f>
              <c:strCache>
                <c:ptCount val="1"/>
                <c:pt idx="0">
                  <c:v>Chamados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Dashboard!$A$12:$A$17</c:f>
              <c:strCache>
                <c:ptCount val="6"/>
                <c:pt idx="0">
                  <c:v>Aberto</c:v>
                </c:pt>
                <c:pt idx="1">
                  <c:v>Triagem</c:v>
                </c:pt>
                <c:pt idx="2">
                  <c:v>Em atendimento</c:v>
                </c:pt>
                <c:pt idx="3">
                  <c:v>Aguardando peça/fornecedor</c:v>
                </c:pt>
                <c:pt idx="4">
                  <c:v>Resolvido</c:v>
                </c:pt>
                <c:pt idx="5">
                  <c:v>Fechado</c:v>
                </c:pt>
              </c:strCache>
            </c:strRef>
          </c:cat>
          <c:val>
            <c:numRef>
              <c:f>Dashboard!$B$12:$B$17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14110639"/>
        <c:axId val="80519913"/>
      </c:barChart>
      <c:catAx>
        <c:axId val="1411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19913"/>
        <c:crosses val="autoZero"/>
        <c:auto val="1"/>
        <c:lblAlgn val="ctr"/>
        <c:lblOffset val="100"/>
        <c:noMultiLvlLbl val="0"/>
      </c:catAx>
      <c:valAx>
        <c:axId val="80519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106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13</xdr:col>
      <xdr:colOff>256320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596844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160920</xdr:rowOff>
    </xdr:from>
    <xdr:to>
      <xdr:col>13</xdr:col>
      <xdr:colOff>256320</xdr:colOff>
      <xdr:row>37</xdr:row>
      <xdr:rowOff>162000</xdr:rowOff>
    </xdr:to>
    <xdr:graphicFrame>
      <xdr:nvGraphicFramePr>
        <xdr:cNvPr id="1" name="Chart 2"/>
        <xdr:cNvGraphicFramePr/>
      </xdr:nvGraphicFramePr>
      <xdr:xfrm>
        <a:off x="596844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</row>
    <row r="5" customFormat="false" ht="23.85" hidden="false" customHeight="false" outlineLevel="0" collapsed="false">
      <c r="A5" s="4" t="s">
        <v>4</v>
      </c>
      <c r="B5" s="5" t="s">
        <v>5</v>
      </c>
    </row>
    <row r="6" customFormat="false" ht="23.8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23.8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4" t="s">
        <v>22</v>
      </c>
      <c r="B14" s="5" t="s">
        <v>23</v>
      </c>
    </row>
    <row r="16" customFormat="false" ht="15" hidden="false" customHeight="false" outlineLevel="0" collapsed="false">
      <c r="A16" s="6" t="s">
        <v>24</v>
      </c>
    </row>
    <row r="17" customFormat="false" ht="15" hidden="false" customHeight="false" outlineLevel="0" collapsed="false">
      <c r="A17" s="7" t="s">
        <v>25</v>
      </c>
      <c r="B17" s="2" t="s">
        <v>26</v>
      </c>
    </row>
    <row r="18" customFormat="false" ht="15" hidden="false" customHeight="false" outlineLevel="0" collapsed="false">
      <c r="A18" s="2" t="s">
        <v>27</v>
      </c>
      <c r="B18" s="2" t="s">
        <v>28</v>
      </c>
    </row>
    <row r="19" customFormat="false" ht="15" hidden="false" customHeight="false" outlineLevel="0" collapsed="false">
      <c r="A19" s="8" t="s">
        <v>29</v>
      </c>
      <c r="B19" s="2" t="s">
        <v>30</v>
      </c>
    </row>
    <row r="21" customFormat="false" ht="15" hidden="false" customHeight="false" outlineLevel="0" collapsed="false">
      <c r="A21" s="6" t="s">
        <v>31</v>
      </c>
    </row>
    <row r="22" customFormat="false" ht="23.85" hidden="false" customHeight="false" outlineLevel="0" collapsed="false">
      <c r="A22" s="2" t="s">
        <v>32</v>
      </c>
      <c r="B22" s="9" t="s">
        <v>33</v>
      </c>
    </row>
    <row r="23" customFormat="false" ht="15" hidden="false" customHeight="false" outlineLevel="0" collapsed="false">
      <c r="A23" s="2" t="s">
        <v>34</v>
      </c>
      <c r="B23" s="9" t="s">
        <v>35</v>
      </c>
    </row>
    <row r="24" customFormat="false" ht="15" hidden="false" customHeight="false" outlineLevel="0" collapsed="false">
      <c r="A24" s="2" t="s">
        <v>36</v>
      </c>
      <c r="B24" s="9" t="s">
        <v>37</v>
      </c>
    </row>
    <row r="25" customFormat="false" ht="15" hidden="false" customHeight="false" outlineLevel="0" collapsed="false">
      <c r="A25" s="2" t="s">
        <v>38</v>
      </c>
      <c r="B25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2"/>
  </cols>
  <sheetData>
    <row r="1" customFormat="false" ht="30" hidden="false" customHeight="true" outlineLevel="0" collapsed="false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12</v>
      </c>
    </row>
    <row r="2" customFormat="false" ht="15" hidden="false" customHeight="false" outlineLevel="0" collapsed="false">
      <c r="A2" s="10" t="s">
        <v>48</v>
      </c>
      <c r="B2" s="10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54</v>
      </c>
      <c r="H2" s="10" t="s">
        <v>55</v>
      </c>
      <c r="I2" s="11" t="n">
        <f aca="false">COUNTIF(Chamados!$C$2:$C$501,A2)</f>
        <v>1</v>
      </c>
    </row>
    <row r="3" customFormat="false" ht="15" hidden="false" customHeight="false" outlineLevel="0" collapsed="false">
      <c r="A3" s="12" t="s">
        <v>56</v>
      </c>
      <c r="B3" s="12"/>
      <c r="C3" s="12"/>
      <c r="D3" s="12"/>
      <c r="E3" s="12"/>
      <c r="F3" s="12"/>
      <c r="G3" s="12"/>
      <c r="H3" s="12"/>
      <c r="I3" s="11" t="n">
        <f aca="false">COUNTIF(Chamados!$C$2:$C$501,A3)</f>
        <v>0</v>
      </c>
    </row>
    <row r="4" customFormat="false" ht="15" hidden="false" customHeight="false" outlineLevel="0" collapsed="false">
      <c r="A4" s="12" t="s">
        <v>57</v>
      </c>
      <c r="B4" s="12"/>
      <c r="C4" s="12"/>
      <c r="D4" s="12"/>
      <c r="E4" s="12"/>
      <c r="F4" s="12"/>
      <c r="G4" s="12"/>
      <c r="H4" s="12"/>
      <c r="I4" s="11" t="n">
        <f aca="false">COUNTIF(Chamados!$C$2:$C$501,A4)</f>
        <v>0</v>
      </c>
    </row>
    <row r="5" customFormat="false" ht="15" hidden="false" customHeight="false" outlineLevel="0" collapsed="false">
      <c r="A5" s="12" t="s">
        <v>58</v>
      </c>
      <c r="B5" s="12"/>
      <c r="C5" s="12"/>
      <c r="D5" s="12"/>
      <c r="E5" s="12"/>
      <c r="F5" s="12"/>
      <c r="G5" s="12"/>
      <c r="H5" s="12"/>
      <c r="I5" s="11" t="n">
        <f aca="false">COUNTIF(Chamados!$C$2:$C$501,A5)</f>
        <v>0</v>
      </c>
    </row>
    <row r="6" customFormat="false" ht="15" hidden="false" customHeight="false" outlineLevel="0" collapsed="false">
      <c r="A6" s="12" t="s">
        <v>59</v>
      </c>
      <c r="B6" s="12"/>
      <c r="C6" s="12"/>
      <c r="D6" s="12"/>
      <c r="E6" s="12"/>
      <c r="F6" s="12"/>
      <c r="G6" s="12"/>
      <c r="H6" s="12"/>
      <c r="I6" s="11" t="n">
        <f aca="false">COUNTIF(Chamados!$C$2:$C$501,A6)</f>
        <v>0</v>
      </c>
    </row>
    <row r="7" customFormat="false" ht="15" hidden="false" customHeight="false" outlineLevel="0" collapsed="false">
      <c r="A7" s="12" t="s">
        <v>60</v>
      </c>
      <c r="B7" s="12"/>
      <c r="C7" s="12"/>
      <c r="D7" s="12"/>
      <c r="E7" s="12"/>
      <c r="F7" s="12"/>
      <c r="G7" s="12"/>
      <c r="H7" s="12"/>
      <c r="I7" s="11" t="n">
        <f aca="false">COUNTIF(Chamados!$C$2:$C$501,A7)</f>
        <v>0</v>
      </c>
    </row>
    <row r="8" customFormat="false" ht="15" hidden="false" customHeight="false" outlineLevel="0" collapsed="false">
      <c r="A8" s="12" t="s">
        <v>61</v>
      </c>
      <c r="B8" s="12"/>
      <c r="C8" s="12"/>
      <c r="D8" s="12"/>
      <c r="E8" s="12"/>
      <c r="F8" s="12"/>
      <c r="G8" s="12"/>
      <c r="H8" s="12"/>
      <c r="I8" s="11" t="n">
        <f aca="false">COUNTIF(Chamados!$C$2:$C$501,A8)</f>
        <v>0</v>
      </c>
    </row>
    <row r="9" customFormat="false" ht="15" hidden="false" customHeight="false" outlineLevel="0" collapsed="false">
      <c r="A9" s="12" t="s">
        <v>62</v>
      </c>
      <c r="B9" s="12"/>
      <c r="C9" s="12"/>
      <c r="D9" s="12"/>
      <c r="E9" s="12"/>
      <c r="F9" s="12"/>
      <c r="G9" s="12"/>
      <c r="H9" s="12"/>
      <c r="I9" s="11" t="n">
        <f aca="false">COUNTIF(Chamados!$C$2:$C$501,A9)</f>
        <v>0</v>
      </c>
    </row>
    <row r="10" customFormat="false" ht="15" hidden="false" customHeight="false" outlineLevel="0" collapsed="false">
      <c r="A10" s="12" t="s">
        <v>63</v>
      </c>
      <c r="B10" s="12"/>
      <c r="C10" s="12"/>
      <c r="D10" s="12"/>
      <c r="E10" s="12"/>
      <c r="F10" s="12"/>
      <c r="G10" s="12"/>
      <c r="H10" s="12"/>
      <c r="I10" s="11" t="n">
        <f aca="false">COUNTIF(Chamados!$C$2:$C$501,A10)</f>
        <v>0</v>
      </c>
    </row>
    <row r="11" customFormat="false" ht="15" hidden="false" customHeight="false" outlineLevel="0" collapsed="false">
      <c r="A11" s="12" t="s">
        <v>64</v>
      </c>
      <c r="B11" s="12"/>
      <c r="C11" s="12"/>
      <c r="D11" s="12"/>
      <c r="E11" s="12"/>
      <c r="F11" s="12"/>
      <c r="G11" s="12"/>
      <c r="H11" s="12"/>
      <c r="I11" s="11" t="n">
        <f aca="false">COUNTIF(Chamados!$C$2:$C$501,A11)</f>
        <v>0</v>
      </c>
    </row>
    <row r="12" customFormat="false" ht="15" hidden="false" customHeight="false" outlineLevel="0" collapsed="false">
      <c r="A12" s="12" t="s">
        <v>65</v>
      </c>
      <c r="B12" s="12"/>
      <c r="C12" s="12"/>
      <c r="D12" s="12"/>
      <c r="E12" s="12"/>
      <c r="F12" s="12"/>
      <c r="G12" s="12"/>
      <c r="H12" s="12"/>
      <c r="I12" s="11" t="n">
        <f aca="false">COUNTIF(Chamados!$C$2:$C$501,A12)</f>
        <v>0</v>
      </c>
    </row>
    <row r="13" customFormat="false" ht="15" hidden="false" customHeight="false" outlineLevel="0" collapsed="false">
      <c r="A13" s="12" t="s">
        <v>66</v>
      </c>
      <c r="B13" s="12"/>
      <c r="C13" s="12"/>
      <c r="D13" s="12"/>
      <c r="E13" s="12"/>
      <c r="F13" s="12"/>
      <c r="G13" s="12"/>
      <c r="H13" s="12"/>
      <c r="I13" s="11" t="n">
        <f aca="false">COUNTIF(Chamados!$C$2:$C$501,A13)</f>
        <v>0</v>
      </c>
    </row>
    <row r="14" customFormat="false" ht="15" hidden="false" customHeight="false" outlineLevel="0" collapsed="false">
      <c r="A14" s="12" t="s">
        <v>67</v>
      </c>
      <c r="B14" s="12"/>
      <c r="C14" s="12"/>
      <c r="D14" s="12"/>
      <c r="E14" s="12"/>
      <c r="F14" s="12"/>
      <c r="G14" s="12"/>
      <c r="H14" s="12"/>
      <c r="I14" s="11" t="n">
        <f aca="false">COUNTIF(Chamados!$C$2:$C$501,A14)</f>
        <v>0</v>
      </c>
    </row>
    <row r="15" customFormat="false" ht="15" hidden="false" customHeight="false" outlineLevel="0" collapsed="false">
      <c r="A15" s="12" t="s">
        <v>68</v>
      </c>
      <c r="B15" s="12"/>
      <c r="C15" s="12"/>
      <c r="D15" s="12"/>
      <c r="E15" s="12"/>
      <c r="F15" s="12"/>
      <c r="G15" s="12"/>
      <c r="H15" s="12"/>
      <c r="I15" s="11" t="n">
        <f aca="false">COUNTIF(Chamados!$C$2:$C$501,A15)</f>
        <v>0</v>
      </c>
    </row>
    <row r="16" customFormat="false" ht="15" hidden="false" customHeight="false" outlineLevel="0" collapsed="false">
      <c r="A16" s="12" t="s">
        <v>69</v>
      </c>
      <c r="B16" s="12"/>
      <c r="C16" s="12"/>
      <c r="D16" s="12"/>
      <c r="E16" s="12"/>
      <c r="F16" s="12"/>
      <c r="G16" s="12"/>
      <c r="H16" s="12"/>
      <c r="I16" s="11" t="n">
        <f aca="false">COUNTIF(Chamados!$C$2:$C$501,A16)</f>
        <v>0</v>
      </c>
    </row>
    <row r="17" customFormat="false" ht="15" hidden="false" customHeight="false" outlineLevel="0" collapsed="false">
      <c r="A17" s="12" t="s">
        <v>70</v>
      </c>
      <c r="B17" s="12"/>
      <c r="C17" s="12"/>
      <c r="D17" s="12"/>
      <c r="E17" s="12"/>
      <c r="F17" s="12"/>
      <c r="G17" s="12"/>
      <c r="H17" s="12"/>
      <c r="I17" s="11" t="n">
        <f aca="false">COUNTIF(Chamados!$C$2:$C$501,A17)</f>
        <v>0</v>
      </c>
    </row>
    <row r="18" customFormat="false" ht="15" hidden="false" customHeight="false" outlineLevel="0" collapsed="false">
      <c r="A18" s="12" t="s">
        <v>71</v>
      </c>
      <c r="B18" s="12"/>
      <c r="C18" s="12"/>
      <c r="D18" s="12"/>
      <c r="E18" s="12"/>
      <c r="F18" s="12"/>
      <c r="G18" s="12"/>
      <c r="H18" s="12"/>
      <c r="I18" s="11" t="n">
        <f aca="false">COUNTIF(Chamados!$C$2:$C$501,A18)</f>
        <v>0</v>
      </c>
    </row>
    <row r="19" customFormat="false" ht="15" hidden="false" customHeight="false" outlineLevel="0" collapsed="false">
      <c r="A19" s="12" t="s">
        <v>72</v>
      </c>
      <c r="B19" s="12"/>
      <c r="C19" s="12"/>
      <c r="D19" s="12"/>
      <c r="E19" s="12"/>
      <c r="F19" s="12"/>
      <c r="G19" s="12"/>
      <c r="H19" s="12"/>
      <c r="I19" s="11" t="n">
        <f aca="false">COUNTIF(Chamados!$C$2:$C$501,A19)</f>
        <v>0</v>
      </c>
    </row>
    <row r="20" customFormat="false" ht="15" hidden="false" customHeight="false" outlineLevel="0" collapsed="false">
      <c r="A20" s="12" t="s">
        <v>73</v>
      </c>
      <c r="B20" s="12"/>
      <c r="C20" s="12"/>
      <c r="D20" s="12"/>
      <c r="E20" s="12"/>
      <c r="F20" s="12"/>
      <c r="G20" s="12"/>
      <c r="H20" s="12"/>
      <c r="I20" s="11" t="n">
        <f aca="false">COUNTIF(Chamados!$C$2:$C$501,A20)</f>
        <v>0</v>
      </c>
    </row>
    <row r="21" customFormat="false" ht="15" hidden="false" customHeight="false" outlineLevel="0" collapsed="false">
      <c r="A21" s="12" t="s">
        <v>74</v>
      </c>
      <c r="B21" s="12"/>
      <c r="C21" s="12"/>
      <c r="D21" s="12"/>
      <c r="E21" s="12"/>
      <c r="F21" s="12"/>
      <c r="G21" s="12"/>
      <c r="H21" s="12"/>
      <c r="I21" s="11" t="n">
        <f aca="false">COUNTIF(Chamados!$C$2:$C$501,A21)</f>
        <v>0</v>
      </c>
    </row>
    <row r="22" customFormat="false" ht="15" hidden="false" customHeight="false" outlineLevel="0" collapsed="false">
      <c r="A22" s="12" t="s">
        <v>75</v>
      </c>
      <c r="B22" s="12"/>
      <c r="C22" s="12"/>
      <c r="D22" s="12"/>
      <c r="E22" s="12"/>
      <c r="F22" s="12"/>
      <c r="G22" s="12"/>
      <c r="H22" s="12"/>
      <c r="I22" s="11" t="n">
        <f aca="false">COUNTIF(Chamados!$C$2:$C$501,A22)</f>
        <v>0</v>
      </c>
    </row>
    <row r="23" customFormat="false" ht="15" hidden="false" customHeight="false" outlineLevel="0" collapsed="false">
      <c r="A23" s="12" t="s">
        <v>76</v>
      </c>
      <c r="B23" s="12"/>
      <c r="C23" s="12"/>
      <c r="D23" s="12"/>
      <c r="E23" s="12"/>
      <c r="F23" s="12"/>
      <c r="G23" s="12"/>
      <c r="H23" s="12"/>
      <c r="I23" s="11" t="n">
        <f aca="false">COUNTIF(Chamados!$C$2:$C$501,A23)</f>
        <v>0</v>
      </c>
    </row>
    <row r="24" customFormat="false" ht="15" hidden="false" customHeight="false" outlineLevel="0" collapsed="false">
      <c r="A24" s="12" t="s">
        <v>77</v>
      </c>
      <c r="B24" s="12"/>
      <c r="C24" s="12"/>
      <c r="D24" s="12"/>
      <c r="E24" s="12"/>
      <c r="F24" s="12"/>
      <c r="G24" s="12"/>
      <c r="H24" s="12"/>
      <c r="I24" s="11" t="n">
        <f aca="false">COUNTIF(Chamados!$C$2:$C$501,A24)</f>
        <v>0</v>
      </c>
    </row>
    <row r="25" customFormat="false" ht="15" hidden="false" customHeight="false" outlineLevel="0" collapsed="false">
      <c r="A25" s="12" t="s">
        <v>78</v>
      </c>
      <c r="B25" s="12"/>
      <c r="C25" s="12"/>
      <c r="D25" s="12"/>
      <c r="E25" s="12"/>
      <c r="F25" s="12"/>
      <c r="G25" s="12"/>
      <c r="H25" s="12"/>
      <c r="I25" s="11" t="n">
        <f aca="false">COUNTIF(Chamados!$C$2:$C$501,A25)</f>
        <v>0</v>
      </c>
    </row>
    <row r="26" customFormat="false" ht="15" hidden="false" customHeight="false" outlineLevel="0" collapsed="false">
      <c r="A26" s="12" t="s">
        <v>79</v>
      </c>
      <c r="B26" s="12"/>
      <c r="C26" s="12"/>
      <c r="D26" s="12"/>
      <c r="E26" s="12"/>
      <c r="F26" s="12"/>
      <c r="G26" s="12"/>
      <c r="H26" s="12"/>
      <c r="I26" s="11" t="n">
        <f aca="false">COUNTIF(Chamados!$C$2:$C$501,A26)</f>
        <v>0</v>
      </c>
    </row>
    <row r="27" customFormat="false" ht="15" hidden="false" customHeight="false" outlineLevel="0" collapsed="false">
      <c r="A27" s="12" t="s">
        <v>80</v>
      </c>
      <c r="B27" s="12"/>
      <c r="C27" s="12"/>
      <c r="D27" s="12"/>
      <c r="E27" s="12"/>
      <c r="F27" s="12"/>
      <c r="G27" s="12"/>
      <c r="H27" s="12"/>
      <c r="I27" s="11" t="n">
        <f aca="false">COUNTIF(Chamados!$C$2:$C$501,A27)</f>
        <v>0</v>
      </c>
    </row>
    <row r="28" customFormat="false" ht="15" hidden="false" customHeight="false" outlineLevel="0" collapsed="false">
      <c r="A28" s="12" t="s">
        <v>81</v>
      </c>
      <c r="B28" s="12"/>
      <c r="C28" s="12"/>
      <c r="D28" s="12"/>
      <c r="E28" s="12"/>
      <c r="F28" s="12"/>
      <c r="G28" s="12"/>
      <c r="H28" s="12"/>
      <c r="I28" s="11" t="n">
        <f aca="false">COUNTIF(Chamados!$C$2:$C$501,A28)</f>
        <v>0</v>
      </c>
    </row>
    <row r="29" customFormat="false" ht="15" hidden="false" customHeight="false" outlineLevel="0" collapsed="false">
      <c r="A29" s="12" t="s">
        <v>82</v>
      </c>
      <c r="B29" s="12"/>
      <c r="C29" s="12"/>
      <c r="D29" s="12"/>
      <c r="E29" s="12"/>
      <c r="F29" s="12"/>
      <c r="G29" s="12"/>
      <c r="H29" s="12"/>
      <c r="I29" s="11" t="n">
        <f aca="false">COUNTIF(Chamados!$C$2:$C$501,A29)</f>
        <v>0</v>
      </c>
    </row>
    <row r="30" customFormat="false" ht="15" hidden="false" customHeight="false" outlineLevel="0" collapsed="false">
      <c r="A30" s="12" t="s">
        <v>83</v>
      </c>
      <c r="B30" s="12"/>
      <c r="C30" s="12"/>
      <c r="D30" s="12"/>
      <c r="E30" s="12"/>
      <c r="F30" s="12"/>
      <c r="G30" s="12"/>
      <c r="H30" s="12"/>
      <c r="I30" s="11" t="n">
        <f aca="false">COUNTIF(Chamados!$C$2:$C$501,A30)</f>
        <v>0</v>
      </c>
    </row>
    <row r="31" customFormat="false" ht="15" hidden="false" customHeight="false" outlineLevel="0" collapsed="false">
      <c r="A31" s="12" t="s">
        <v>84</v>
      </c>
      <c r="B31" s="12"/>
      <c r="C31" s="12"/>
      <c r="D31" s="12"/>
      <c r="E31" s="12"/>
      <c r="F31" s="12"/>
      <c r="G31" s="12"/>
      <c r="H31" s="12"/>
      <c r="I31" s="11" t="n">
        <f aca="false">COUNTIF(Chamados!$C$2:$C$501,A31)</f>
        <v>0</v>
      </c>
    </row>
    <row r="32" customFormat="false" ht="15" hidden="false" customHeight="false" outlineLevel="0" collapsed="false">
      <c r="A32" s="12" t="s">
        <v>85</v>
      </c>
      <c r="B32" s="12"/>
      <c r="C32" s="12"/>
      <c r="D32" s="12"/>
      <c r="E32" s="12"/>
      <c r="F32" s="12"/>
      <c r="G32" s="12"/>
      <c r="H32" s="12"/>
      <c r="I32" s="11" t="n">
        <f aca="false">COUNTIF(Chamados!$C$2:$C$501,A32)</f>
        <v>0</v>
      </c>
    </row>
    <row r="33" customFormat="false" ht="15" hidden="false" customHeight="false" outlineLevel="0" collapsed="false">
      <c r="A33" s="12" t="s">
        <v>86</v>
      </c>
      <c r="B33" s="12"/>
      <c r="C33" s="12"/>
      <c r="D33" s="12"/>
      <c r="E33" s="12"/>
      <c r="F33" s="12"/>
      <c r="G33" s="12"/>
      <c r="H33" s="12"/>
      <c r="I33" s="11" t="n">
        <f aca="false">COUNTIF(Chamados!$C$2:$C$501,A33)</f>
        <v>0</v>
      </c>
    </row>
    <row r="34" customFormat="false" ht="15" hidden="false" customHeight="false" outlineLevel="0" collapsed="false">
      <c r="A34" s="12" t="s">
        <v>87</v>
      </c>
      <c r="B34" s="12"/>
      <c r="C34" s="12"/>
      <c r="D34" s="12"/>
      <c r="E34" s="12"/>
      <c r="F34" s="12"/>
      <c r="G34" s="12"/>
      <c r="H34" s="12"/>
      <c r="I34" s="11" t="n">
        <f aca="false">COUNTIF(Chamados!$C$2:$C$501,A34)</f>
        <v>0</v>
      </c>
    </row>
    <row r="35" customFormat="false" ht="15" hidden="false" customHeight="false" outlineLevel="0" collapsed="false">
      <c r="A35" s="12" t="s">
        <v>88</v>
      </c>
      <c r="B35" s="12"/>
      <c r="C35" s="12"/>
      <c r="D35" s="12"/>
      <c r="E35" s="12"/>
      <c r="F35" s="12"/>
      <c r="G35" s="12"/>
      <c r="H35" s="12"/>
      <c r="I35" s="11" t="n">
        <f aca="false">COUNTIF(Chamados!$C$2:$C$501,A35)</f>
        <v>0</v>
      </c>
    </row>
    <row r="36" customFormat="false" ht="15" hidden="false" customHeight="false" outlineLevel="0" collapsed="false">
      <c r="A36" s="12" t="s">
        <v>89</v>
      </c>
      <c r="B36" s="12"/>
      <c r="C36" s="12"/>
      <c r="D36" s="12"/>
      <c r="E36" s="12"/>
      <c r="F36" s="12"/>
      <c r="G36" s="12"/>
      <c r="H36" s="12"/>
      <c r="I36" s="11" t="n">
        <f aca="false">COUNTIF(Chamados!$C$2:$C$501,A36)</f>
        <v>0</v>
      </c>
    </row>
    <row r="37" customFormat="false" ht="15" hidden="false" customHeight="false" outlineLevel="0" collapsed="false">
      <c r="A37" s="12" t="s">
        <v>90</v>
      </c>
      <c r="B37" s="12"/>
      <c r="C37" s="12"/>
      <c r="D37" s="12"/>
      <c r="E37" s="12"/>
      <c r="F37" s="12"/>
      <c r="G37" s="12"/>
      <c r="H37" s="12"/>
      <c r="I37" s="11" t="n">
        <f aca="false">COUNTIF(Chamados!$C$2:$C$501,A37)</f>
        <v>0</v>
      </c>
    </row>
    <row r="38" customFormat="false" ht="15" hidden="false" customHeight="false" outlineLevel="0" collapsed="false">
      <c r="A38" s="12" t="s">
        <v>91</v>
      </c>
      <c r="B38" s="12"/>
      <c r="C38" s="12"/>
      <c r="D38" s="12"/>
      <c r="E38" s="12"/>
      <c r="F38" s="12"/>
      <c r="G38" s="12"/>
      <c r="H38" s="12"/>
      <c r="I38" s="11" t="n">
        <f aca="false">COUNTIF(Chamados!$C$2:$C$501,A38)</f>
        <v>0</v>
      </c>
    </row>
    <row r="39" customFormat="false" ht="15" hidden="false" customHeight="false" outlineLevel="0" collapsed="false">
      <c r="A39" s="12" t="s">
        <v>92</v>
      </c>
      <c r="B39" s="12"/>
      <c r="C39" s="12"/>
      <c r="D39" s="12"/>
      <c r="E39" s="12"/>
      <c r="F39" s="12"/>
      <c r="G39" s="12"/>
      <c r="H39" s="12"/>
      <c r="I39" s="11" t="n">
        <f aca="false">COUNTIF(Chamados!$C$2:$C$501,A39)</f>
        <v>0</v>
      </c>
    </row>
    <row r="40" customFormat="false" ht="15" hidden="false" customHeight="false" outlineLevel="0" collapsed="false">
      <c r="A40" s="12" t="s">
        <v>93</v>
      </c>
      <c r="B40" s="12"/>
      <c r="C40" s="12"/>
      <c r="D40" s="12"/>
      <c r="E40" s="12"/>
      <c r="F40" s="12"/>
      <c r="G40" s="12"/>
      <c r="H40" s="12"/>
      <c r="I40" s="11" t="n">
        <f aca="false">COUNTIF(Chamados!$C$2:$C$501,A40)</f>
        <v>0</v>
      </c>
    </row>
    <row r="41" customFormat="false" ht="15" hidden="false" customHeight="false" outlineLevel="0" collapsed="false">
      <c r="A41" s="12" t="s">
        <v>94</v>
      </c>
      <c r="B41" s="12"/>
      <c r="C41" s="12"/>
      <c r="D41" s="12"/>
      <c r="E41" s="12"/>
      <c r="F41" s="12"/>
      <c r="G41" s="12"/>
      <c r="H41" s="12"/>
      <c r="I41" s="11" t="n">
        <f aca="false">COUNTIF(Chamados!$C$2:$C$501,A41)</f>
        <v>0</v>
      </c>
    </row>
    <row r="42" customFormat="false" ht="15" hidden="false" customHeight="false" outlineLevel="0" collapsed="false">
      <c r="A42" s="12" t="s">
        <v>95</v>
      </c>
      <c r="B42" s="12"/>
      <c r="C42" s="12"/>
      <c r="D42" s="12"/>
      <c r="E42" s="12"/>
      <c r="F42" s="12"/>
      <c r="G42" s="12"/>
      <c r="H42" s="12"/>
      <c r="I42" s="11" t="n">
        <f aca="false">COUNTIF(Chamados!$C$2:$C$501,A42)</f>
        <v>0</v>
      </c>
    </row>
    <row r="43" customFormat="false" ht="15" hidden="false" customHeight="false" outlineLevel="0" collapsed="false">
      <c r="A43" s="12" t="s">
        <v>96</v>
      </c>
      <c r="B43" s="12"/>
      <c r="C43" s="12"/>
      <c r="D43" s="12"/>
      <c r="E43" s="12"/>
      <c r="F43" s="12"/>
      <c r="G43" s="12"/>
      <c r="H43" s="12"/>
      <c r="I43" s="11" t="n">
        <f aca="false">COUNTIF(Chamados!$C$2:$C$501,A43)</f>
        <v>0</v>
      </c>
    </row>
    <row r="44" customFormat="false" ht="15" hidden="false" customHeight="false" outlineLevel="0" collapsed="false">
      <c r="A44" s="12" t="s">
        <v>97</v>
      </c>
      <c r="B44" s="12"/>
      <c r="C44" s="12"/>
      <c r="D44" s="12"/>
      <c r="E44" s="12"/>
      <c r="F44" s="12"/>
      <c r="G44" s="12"/>
      <c r="H44" s="12"/>
      <c r="I44" s="11" t="n">
        <f aca="false">COUNTIF(Chamados!$C$2:$C$501,A44)</f>
        <v>0</v>
      </c>
    </row>
    <row r="45" customFormat="false" ht="15" hidden="false" customHeight="false" outlineLevel="0" collapsed="false">
      <c r="A45" s="12" t="s">
        <v>98</v>
      </c>
      <c r="B45" s="12"/>
      <c r="C45" s="12"/>
      <c r="D45" s="12"/>
      <c r="E45" s="12"/>
      <c r="F45" s="12"/>
      <c r="G45" s="12"/>
      <c r="H45" s="12"/>
      <c r="I45" s="11" t="n">
        <f aca="false">COUNTIF(Chamados!$C$2:$C$501,A45)</f>
        <v>0</v>
      </c>
    </row>
    <row r="46" customFormat="false" ht="15" hidden="false" customHeight="false" outlineLevel="0" collapsed="false">
      <c r="A46" s="12" t="s">
        <v>99</v>
      </c>
      <c r="B46" s="12"/>
      <c r="C46" s="12"/>
      <c r="D46" s="12"/>
      <c r="E46" s="12"/>
      <c r="F46" s="12"/>
      <c r="G46" s="12"/>
      <c r="H46" s="12"/>
      <c r="I46" s="11" t="n">
        <f aca="false">COUNTIF(Chamados!$C$2:$C$501,A46)</f>
        <v>0</v>
      </c>
    </row>
    <row r="47" customFormat="false" ht="15" hidden="false" customHeight="false" outlineLevel="0" collapsed="false">
      <c r="A47" s="12" t="s">
        <v>100</v>
      </c>
      <c r="B47" s="12"/>
      <c r="C47" s="12"/>
      <c r="D47" s="12"/>
      <c r="E47" s="12"/>
      <c r="F47" s="12"/>
      <c r="G47" s="12"/>
      <c r="H47" s="12"/>
      <c r="I47" s="11" t="n">
        <f aca="false">COUNTIF(Chamados!$C$2:$C$501,A47)</f>
        <v>0</v>
      </c>
    </row>
    <row r="48" customFormat="false" ht="15" hidden="false" customHeight="false" outlineLevel="0" collapsed="false">
      <c r="A48" s="12" t="s">
        <v>101</v>
      </c>
      <c r="B48" s="12"/>
      <c r="C48" s="12"/>
      <c r="D48" s="12"/>
      <c r="E48" s="12"/>
      <c r="F48" s="12"/>
      <c r="G48" s="12"/>
      <c r="H48" s="12"/>
      <c r="I48" s="11" t="n">
        <f aca="false">COUNTIF(Chamados!$C$2:$C$501,A48)</f>
        <v>0</v>
      </c>
    </row>
    <row r="49" customFormat="false" ht="15" hidden="false" customHeight="false" outlineLevel="0" collapsed="false">
      <c r="A49" s="12" t="s">
        <v>102</v>
      </c>
      <c r="B49" s="12"/>
      <c r="C49" s="12"/>
      <c r="D49" s="12"/>
      <c r="E49" s="12"/>
      <c r="F49" s="12"/>
      <c r="G49" s="12"/>
      <c r="H49" s="12"/>
      <c r="I49" s="11" t="n">
        <f aca="false">COUNTIF(Chamados!$C$2:$C$501,A49)</f>
        <v>0</v>
      </c>
    </row>
    <row r="50" customFormat="false" ht="15" hidden="false" customHeight="false" outlineLevel="0" collapsed="false">
      <c r="A50" s="12" t="s">
        <v>103</v>
      </c>
      <c r="B50" s="12"/>
      <c r="C50" s="12"/>
      <c r="D50" s="12"/>
      <c r="E50" s="12"/>
      <c r="F50" s="12"/>
      <c r="G50" s="12"/>
      <c r="H50" s="12"/>
      <c r="I50" s="11" t="n">
        <f aca="false">COUNTIF(Chamados!$C$2:$C$501,A50)</f>
        <v>0</v>
      </c>
    </row>
    <row r="51" customFormat="false" ht="15" hidden="false" customHeight="false" outlineLevel="0" collapsed="false">
      <c r="A51" s="12" t="s">
        <v>104</v>
      </c>
      <c r="B51" s="12"/>
      <c r="C51" s="12"/>
      <c r="D51" s="12"/>
      <c r="E51" s="12"/>
      <c r="F51" s="12"/>
      <c r="G51" s="12"/>
      <c r="H51" s="12"/>
      <c r="I51" s="11" t="n">
        <f aca="false">COUNTIF(Chamados!$C$2:$C$501,A51)</f>
        <v>0</v>
      </c>
    </row>
    <row r="52" customFormat="false" ht="15" hidden="false" customHeight="false" outlineLevel="0" collapsed="false">
      <c r="A52" s="12" t="s">
        <v>105</v>
      </c>
      <c r="B52" s="12"/>
      <c r="C52" s="12"/>
      <c r="D52" s="12"/>
      <c r="E52" s="12"/>
      <c r="F52" s="12"/>
      <c r="G52" s="12"/>
      <c r="H52" s="12"/>
      <c r="I52" s="11" t="n">
        <f aca="false">COUNTIF(Chamados!$C$2:$C$501,A52)</f>
        <v>0</v>
      </c>
    </row>
    <row r="53" customFormat="false" ht="15" hidden="false" customHeight="false" outlineLevel="0" collapsed="false">
      <c r="A53" s="12" t="s">
        <v>106</v>
      </c>
      <c r="B53" s="12"/>
      <c r="C53" s="12"/>
      <c r="D53" s="12"/>
      <c r="E53" s="12"/>
      <c r="F53" s="12"/>
      <c r="G53" s="12"/>
      <c r="H53" s="12"/>
      <c r="I53" s="11" t="n">
        <f aca="false">COUNTIF(Chamados!$C$2:$C$501,A53)</f>
        <v>0</v>
      </c>
    </row>
    <row r="54" customFormat="false" ht="15" hidden="false" customHeight="false" outlineLevel="0" collapsed="false">
      <c r="A54" s="12" t="s">
        <v>107</v>
      </c>
      <c r="B54" s="12"/>
      <c r="C54" s="12"/>
      <c r="D54" s="12"/>
      <c r="E54" s="12"/>
      <c r="F54" s="12"/>
      <c r="G54" s="12"/>
      <c r="H54" s="12"/>
      <c r="I54" s="11" t="n">
        <f aca="false">COUNTIF(Chamados!$C$2:$C$501,A54)</f>
        <v>0</v>
      </c>
    </row>
    <row r="55" customFormat="false" ht="15" hidden="false" customHeight="false" outlineLevel="0" collapsed="false">
      <c r="A55" s="12" t="s">
        <v>108</v>
      </c>
      <c r="B55" s="12"/>
      <c r="C55" s="12"/>
      <c r="D55" s="12"/>
      <c r="E55" s="12"/>
      <c r="F55" s="12"/>
      <c r="G55" s="12"/>
      <c r="H55" s="12"/>
      <c r="I55" s="11" t="n">
        <f aca="false">COUNTIF(Chamados!$C$2:$C$501,A55)</f>
        <v>0</v>
      </c>
    </row>
    <row r="56" customFormat="false" ht="15" hidden="false" customHeight="false" outlineLevel="0" collapsed="false">
      <c r="A56" s="12" t="s">
        <v>109</v>
      </c>
      <c r="B56" s="12"/>
      <c r="C56" s="12"/>
      <c r="D56" s="12"/>
      <c r="E56" s="12"/>
      <c r="F56" s="12"/>
      <c r="G56" s="12"/>
      <c r="H56" s="12"/>
      <c r="I56" s="11" t="n">
        <f aca="false">COUNTIF(Chamados!$C$2:$C$501,A56)</f>
        <v>0</v>
      </c>
    </row>
    <row r="57" customFormat="false" ht="15" hidden="false" customHeight="false" outlineLevel="0" collapsed="false">
      <c r="A57" s="12" t="s">
        <v>110</v>
      </c>
      <c r="B57" s="12"/>
      <c r="C57" s="12"/>
      <c r="D57" s="12"/>
      <c r="E57" s="12"/>
      <c r="F57" s="12"/>
      <c r="G57" s="12"/>
      <c r="H57" s="12"/>
      <c r="I57" s="11" t="n">
        <f aca="false">COUNTIF(Chamados!$C$2:$C$501,A57)</f>
        <v>0</v>
      </c>
    </row>
    <row r="58" customFormat="false" ht="15" hidden="false" customHeight="false" outlineLevel="0" collapsed="false">
      <c r="A58" s="12" t="s">
        <v>111</v>
      </c>
      <c r="B58" s="12"/>
      <c r="C58" s="12"/>
      <c r="D58" s="12"/>
      <c r="E58" s="12"/>
      <c r="F58" s="12"/>
      <c r="G58" s="12"/>
      <c r="H58" s="12"/>
      <c r="I58" s="11" t="n">
        <f aca="false">COUNTIF(Chamados!$C$2:$C$501,A58)</f>
        <v>0</v>
      </c>
    </row>
    <row r="59" customFormat="false" ht="15" hidden="false" customHeight="false" outlineLevel="0" collapsed="false">
      <c r="A59" s="12" t="s">
        <v>112</v>
      </c>
      <c r="B59" s="12"/>
      <c r="C59" s="12"/>
      <c r="D59" s="12"/>
      <c r="E59" s="12"/>
      <c r="F59" s="12"/>
      <c r="G59" s="12"/>
      <c r="H59" s="12"/>
      <c r="I59" s="11" t="n">
        <f aca="false">COUNTIF(Chamados!$C$2:$C$501,A59)</f>
        <v>0</v>
      </c>
    </row>
    <row r="60" customFormat="false" ht="15" hidden="false" customHeight="false" outlineLevel="0" collapsed="false">
      <c r="A60" s="12" t="s">
        <v>113</v>
      </c>
      <c r="B60" s="12"/>
      <c r="C60" s="12"/>
      <c r="D60" s="12"/>
      <c r="E60" s="12"/>
      <c r="F60" s="12"/>
      <c r="G60" s="12"/>
      <c r="H60" s="12"/>
      <c r="I60" s="11" t="n">
        <f aca="false">COUNTIF(Chamados!$C$2:$C$501,A60)</f>
        <v>0</v>
      </c>
    </row>
    <row r="61" customFormat="false" ht="15" hidden="false" customHeight="false" outlineLevel="0" collapsed="false">
      <c r="A61" s="12" t="s">
        <v>114</v>
      </c>
      <c r="B61" s="12"/>
      <c r="C61" s="12"/>
      <c r="D61" s="12"/>
      <c r="E61" s="12"/>
      <c r="F61" s="12"/>
      <c r="G61" s="12"/>
      <c r="H61" s="12"/>
      <c r="I61" s="11" t="n">
        <f aca="false">COUNTIF(Chamados!$C$2:$C$501,A61)</f>
        <v>0</v>
      </c>
    </row>
    <row r="62" customFormat="false" ht="15" hidden="false" customHeight="false" outlineLevel="0" collapsed="false">
      <c r="A62" s="12" t="s">
        <v>115</v>
      </c>
      <c r="B62" s="12"/>
      <c r="C62" s="12"/>
      <c r="D62" s="12"/>
      <c r="E62" s="12"/>
      <c r="F62" s="12"/>
      <c r="G62" s="12"/>
      <c r="H62" s="12"/>
      <c r="I62" s="11" t="n">
        <f aca="false">COUNTIF(Chamados!$C$2:$C$501,A62)</f>
        <v>0</v>
      </c>
    </row>
    <row r="63" customFormat="false" ht="15" hidden="false" customHeight="false" outlineLevel="0" collapsed="false">
      <c r="A63" s="12" t="s">
        <v>116</v>
      </c>
      <c r="B63" s="12"/>
      <c r="C63" s="12"/>
      <c r="D63" s="12"/>
      <c r="E63" s="12"/>
      <c r="F63" s="12"/>
      <c r="G63" s="12"/>
      <c r="H63" s="12"/>
      <c r="I63" s="11" t="n">
        <f aca="false">COUNTIF(Chamados!$C$2:$C$501,A63)</f>
        <v>0</v>
      </c>
    </row>
    <row r="64" customFormat="false" ht="15" hidden="false" customHeight="false" outlineLevel="0" collapsed="false">
      <c r="A64" s="12" t="s">
        <v>117</v>
      </c>
      <c r="B64" s="12"/>
      <c r="C64" s="12"/>
      <c r="D64" s="12"/>
      <c r="E64" s="12"/>
      <c r="F64" s="12"/>
      <c r="G64" s="12"/>
      <c r="H64" s="12"/>
      <c r="I64" s="11" t="n">
        <f aca="false">COUNTIF(Chamados!$C$2:$C$501,A64)</f>
        <v>0</v>
      </c>
    </row>
    <row r="65" customFormat="false" ht="15" hidden="false" customHeight="false" outlineLevel="0" collapsed="false">
      <c r="A65" s="12" t="s">
        <v>118</v>
      </c>
      <c r="B65" s="12"/>
      <c r="C65" s="12"/>
      <c r="D65" s="12"/>
      <c r="E65" s="12"/>
      <c r="F65" s="12"/>
      <c r="G65" s="12"/>
      <c r="H65" s="12"/>
      <c r="I65" s="11" t="n">
        <f aca="false">COUNTIF(Chamados!$C$2:$C$501,A65)</f>
        <v>0</v>
      </c>
    </row>
    <row r="66" customFormat="false" ht="15" hidden="false" customHeight="false" outlineLevel="0" collapsed="false">
      <c r="A66" s="12" t="s">
        <v>119</v>
      </c>
      <c r="B66" s="12"/>
      <c r="C66" s="12"/>
      <c r="D66" s="12"/>
      <c r="E66" s="12"/>
      <c r="F66" s="12"/>
      <c r="G66" s="12"/>
      <c r="H66" s="12"/>
      <c r="I66" s="11" t="n">
        <f aca="false">COUNTIF(Chamados!$C$2:$C$501,A66)</f>
        <v>0</v>
      </c>
    </row>
    <row r="67" customFormat="false" ht="15" hidden="false" customHeight="false" outlineLevel="0" collapsed="false">
      <c r="A67" s="12" t="s">
        <v>120</v>
      </c>
      <c r="B67" s="12"/>
      <c r="C67" s="12"/>
      <c r="D67" s="12"/>
      <c r="E67" s="12"/>
      <c r="F67" s="12"/>
      <c r="G67" s="12"/>
      <c r="H67" s="12"/>
      <c r="I67" s="11" t="n">
        <f aca="false">COUNTIF(Chamados!$C$2:$C$501,A67)</f>
        <v>0</v>
      </c>
    </row>
    <row r="68" customFormat="false" ht="15" hidden="false" customHeight="false" outlineLevel="0" collapsed="false">
      <c r="A68" s="12" t="s">
        <v>121</v>
      </c>
      <c r="B68" s="12"/>
      <c r="C68" s="12"/>
      <c r="D68" s="12"/>
      <c r="E68" s="12"/>
      <c r="F68" s="12"/>
      <c r="G68" s="12"/>
      <c r="H68" s="12"/>
      <c r="I68" s="11" t="n">
        <f aca="false">COUNTIF(Chamados!$C$2:$C$501,A68)</f>
        <v>0</v>
      </c>
    </row>
    <row r="69" customFormat="false" ht="15" hidden="false" customHeight="false" outlineLevel="0" collapsed="false">
      <c r="A69" s="12" t="s">
        <v>122</v>
      </c>
      <c r="B69" s="12"/>
      <c r="C69" s="12"/>
      <c r="D69" s="12"/>
      <c r="E69" s="12"/>
      <c r="F69" s="12"/>
      <c r="G69" s="12"/>
      <c r="H69" s="12"/>
      <c r="I69" s="11" t="n">
        <f aca="false">COUNTIF(Chamados!$C$2:$C$501,A69)</f>
        <v>0</v>
      </c>
    </row>
    <row r="70" customFormat="false" ht="15" hidden="false" customHeight="false" outlineLevel="0" collapsed="false">
      <c r="A70" s="12" t="s">
        <v>123</v>
      </c>
      <c r="B70" s="12"/>
      <c r="C70" s="12"/>
      <c r="D70" s="12"/>
      <c r="E70" s="12"/>
      <c r="F70" s="12"/>
      <c r="G70" s="12"/>
      <c r="H70" s="12"/>
      <c r="I70" s="11" t="n">
        <f aca="false">COUNTIF(Chamados!$C$2:$C$501,A70)</f>
        <v>0</v>
      </c>
    </row>
    <row r="71" customFormat="false" ht="15" hidden="false" customHeight="false" outlineLevel="0" collapsed="false">
      <c r="A71" s="12" t="s">
        <v>124</v>
      </c>
      <c r="B71" s="12"/>
      <c r="C71" s="12"/>
      <c r="D71" s="12"/>
      <c r="E71" s="12"/>
      <c r="F71" s="12"/>
      <c r="G71" s="12"/>
      <c r="H71" s="12"/>
      <c r="I71" s="11" t="n">
        <f aca="false">COUNTIF(Chamados!$C$2:$C$501,A71)</f>
        <v>0</v>
      </c>
    </row>
    <row r="72" customFormat="false" ht="15" hidden="false" customHeight="false" outlineLevel="0" collapsed="false">
      <c r="A72" s="12" t="s">
        <v>125</v>
      </c>
      <c r="B72" s="12"/>
      <c r="C72" s="12"/>
      <c r="D72" s="12"/>
      <c r="E72" s="12"/>
      <c r="F72" s="12"/>
      <c r="G72" s="12"/>
      <c r="H72" s="12"/>
      <c r="I72" s="11" t="n">
        <f aca="false">COUNTIF(Chamados!$C$2:$C$501,A72)</f>
        <v>0</v>
      </c>
    </row>
    <row r="73" customFormat="false" ht="15" hidden="false" customHeight="false" outlineLevel="0" collapsed="false">
      <c r="A73" s="12" t="s">
        <v>126</v>
      </c>
      <c r="B73" s="12"/>
      <c r="C73" s="12"/>
      <c r="D73" s="12"/>
      <c r="E73" s="12"/>
      <c r="F73" s="12"/>
      <c r="G73" s="12"/>
      <c r="H73" s="12"/>
      <c r="I73" s="11" t="n">
        <f aca="false">COUNTIF(Chamados!$C$2:$C$501,A73)</f>
        <v>0</v>
      </c>
    </row>
    <row r="74" customFormat="false" ht="15" hidden="false" customHeight="false" outlineLevel="0" collapsed="false">
      <c r="A74" s="12" t="s">
        <v>127</v>
      </c>
      <c r="B74" s="12"/>
      <c r="C74" s="12"/>
      <c r="D74" s="12"/>
      <c r="E74" s="12"/>
      <c r="F74" s="12"/>
      <c r="G74" s="12"/>
      <c r="H74" s="12"/>
      <c r="I74" s="11" t="n">
        <f aca="false">COUNTIF(Chamados!$C$2:$C$501,A74)</f>
        <v>0</v>
      </c>
    </row>
    <row r="75" customFormat="false" ht="15" hidden="false" customHeight="false" outlineLevel="0" collapsed="false">
      <c r="A75" s="12" t="s">
        <v>128</v>
      </c>
      <c r="B75" s="12"/>
      <c r="C75" s="12"/>
      <c r="D75" s="12"/>
      <c r="E75" s="12"/>
      <c r="F75" s="12"/>
      <c r="G75" s="12"/>
      <c r="H75" s="12"/>
      <c r="I75" s="11" t="n">
        <f aca="false">COUNTIF(Chamados!$C$2:$C$501,A75)</f>
        <v>0</v>
      </c>
    </row>
    <row r="76" customFormat="false" ht="15" hidden="false" customHeight="false" outlineLevel="0" collapsed="false">
      <c r="A76" s="12" t="s">
        <v>129</v>
      </c>
      <c r="B76" s="12"/>
      <c r="C76" s="12"/>
      <c r="D76" s="12"/>
      <c r="E76" s="12"/>
      <c r="F76" s="12"/>
      <c r="G76" s="12"/>
      <c r="H76" s="12"/>
      <c r="I76" s="11" t="n">
        <f aca="false">COUNTIF(Chamados!$C$2:$C$501,A76)</f>
        <v>0</v>
      </c>
    </row>
    <row r="77" customFormat="false" ht="15" hidden="false" customHeight="false" outlineLevel="0" collapsed="false">
      <c r="A77" s="12" t="s">
        <v>130</v>
      </c>
      <c r="B77" s="12"/>
      <c r="C77" s="12"/>
      <c r="D77" s="12"/>
      <c r="E77" s="12"/>
      <c r="F77" s="12"/>
      <c r="G77" s="12"/>
      <c r="H77" s="12"/>
      <c r="I77" s="11" t="n">
        <f aca="false">COUNTIF(Chamados!$C$2:$C$501,A77)</f>
        <v>0</v>
      </c>
    </row>
    <row r="78" customFormat="false" ht="15" hidden="false" customHeight="false" outlineLevel="0" collapsed="false">
      <c r="A78" s="12" t="s">
        <v>131</v>
      </c>
      <c r="B78" s="12"/>
      <c r="C78" s="12"/>
      <c r="D78" s="12"/>
      <c r="E78" s="12"/>
      <c r="F78" s="12"/>
      <c r="G78" s="12"/>
      <c r="H78" s="12"/>
      <c r="I78" s="11" t="n">
        <f aca="false">COUNTIF(Chamados!$C$2:$C$501,A78)</f>
        <v>0</v>
      </c>
    </row>
    <row r="79" customFormat="false" ht="15" hidden="false" customHeight="false" outlineLevel="0" collapsed="false">
      <c r="A79" s="12" t="s">
        <v>132</v>
      </c>
      <c r="B79" s="12"/>
      <c r="C79" s="12"/>
      <c r="D79" s="12"/>
      <c r="E79" s="12"/>
      <c r="F79" s="12"/>
      <c r="G79" s="12"/>
      <c r="H79" s="12"/>
      <c r="I79" s="11" t="n">
        <f aca="false">COUNTIF(Chamados!$C$2:$C$501,A79)</f>
        <v>0</v>
      </c>
    </row>
    <row r="80" customFormat="false" ht="15" hidden="false" customHeight="false" outlineLevel="0" collapsed="false">
      <c r="A80" s="12" t="s">
        <v>133</v>
      </c>
      <c r="B80" s="12"/>
      <c r="C80" s="12"/>
      <c r="D80" s="12"/>
      <c r="E80" s="12"/>
      <c r="F80" s="12"/>
      <c r="G80" s="12"/>
      <c r="H80" s="12"/>
      <c r="I80" s="11" t="n">
        <f aca="false">COUNTIF(Chamados!$C$2:$C$501,A80)</f>
        <v>0</v>
      </c>
    </row>
    <row r="81" customFormat="false" ht="15" hidden="false" customHeight="false" outlineLevel="0" collapsed="false">
      <c r="A81" s="12" t="s">
        <v>134</v>
      </c>
      <c r="B81" s="12"/>
      <c r="C81" s="12"/>
      <c r="D81" s="12"/>
      <c r="E81" s="12"/>
      <c r="F81" s="12"/>
      <c r="G81" s="12"/>
      <c r="H81" s="12"/>
      <c r="I81" s="11" t="n">
        <f aca="false">COUNTIF(Chamados!$C$2:$C$501,A81)</f>
        <v>0</v>
      </c>
    </row>
    <row r="82" customFormat="false" ht="15" hidden="false" customHeight="false" outlineLevel="0" collapsed="false">
      <c r="A82" s="12" t="s">
        <v>135</v>
      </c>
      <c r="B82" s="12"/>
      <c r="C82" s="12"/>
      <c r="D82" s="12"/>
      <c r="E82" s="12"/>
      <c r="F82" s="12"/>
      <c r="G82" s="12"/>
      <c r="H82" s="12"/>
      <c r="I82" s="11" t="n">
        <f aca="false">COUNTIF(Chamados!$C$2:$C$501,A82)</f>
        <v>0</v>
      </c>
    </row>
    <row r="83" customFormat="false" ht="15" hidden="false" customHeight="false" outlineLevel="0" collapsed="false">
      <c r="A83" s="12" t="s">
        <v>136</v>
      </c>
      <c r="B83" s="12"/>
      <c r="C83" s="12"/>
      <c r="D83" s="12"/>
      <c r="E83" s="12"/>
      <c r="F83" s="12"/>
      <c r="G83" s="12"/>
      <c r="H83" s="12"/>
      <c r="I83" s="11" t="n">
        <f aca="false">COUNTIF(Chamados!$C$2:$C$501,A83)</f>
        <v>0</v>
      </c>
    </row>
    <row r="84" customFormat="false" ht="15" hidden="false" customHeight="false" outlineLevel="0" collapsed="false">
      <c r="A84" s="12" t="s">
        <v>137</v>
      </c>
      <c r="B84" s="12"/>
      <c r="C84" s="12"/>
      <c r="D84" s="12"/>
      <c r="E84" s="12"/>
      <c r="F84" s="12"/>
      <c r="G84" s="12"/>
      <c r="H84" s="12"/>
      <c r="I84" s="11" t="n">
        <f aca="false">COUNTIF(Chamados!$C$2:$C$501,A84)</f>
        <v>0</v>
      </c>
    </row>
    <row r="85" customFormat="false" ht="15" hidden="false" customHeight="false" outlineLevel="0" collapsed="false">
      <c r="A85" s="12" t="s">
        <v>138</v>
      </c>
      <c r="B85" s="12"/>
      <c r="C85" s="12"/>
      <c r="D85" s="12"/>
      <c r="E85" s="12"/>
      <c r="F85" s="12"/>
      <c r="G85" s="12"/>
      <c r="H85" s="12"/>
      <c r="I85" s="11" t="n">
        <f aca="false">COUNTIF(Chamados!$C$2:$C$501,A85)</f>
        <v>0</v>
      </c>
    </row>
    <row r="86" customFormat="false" ht="15" hidden="false" customHeight="false" outlineLevel="0" collapsed="false">
      <c r="A86" s="12" t="s">
        <v>139</v>
      </c>
      <c r="B86" s="12"/>
      <c r="C86" s="12"/>
      <c r="D86" s="12"/>
      <c r="E86" s="12"/>
      <c r="F86" s="12"/>
      <c r="G86" s="12"/>
      <c r="H86" s="12"/>
      <c r="I86" s="11" t="n">
        <f aca="false">COUNTIF(Chamados!$C$2:$C$501,A86)</f>
        <v>0</v>
      </c>
    </row>
    <row r="87" customFormat="false" ht="15" hidden="false" customHeight="false" outlineLevel="0" collapsed="false">
      <c r="A87" s="12" t="s">
        <v>140</v>
      </c>
      <c r="B87" s="12"/>
      <c r="C87" s="12"/>
      <c r="D87" s="12"/>
      <c r="E87" s="12"/>
      <c r="F87" s="12"/>
      <c r="G87" s="12"/>
      <c r="H87" s="12"/>
      <c r="I87" s="11" t="n">
        <f aca="false">COUNTIF(Chamados!$C$2:$C$501,A87)</f>
        <v>0</v>
      </c>
    </row>
    <row r="88" customFormat="false" ht="15" hidden="false" customHeight="false" outlineLevel="0" collapsed="false">
      <c r="A88" s="12" t="s">
        <v>141</v>
      </c>
      <c r="B88" s="12"/>
      <c r="C88" s="12"/>
      <c r="D88" s="12"/>
      <c r="E88" s="12"/>
      <c r="F88" s="12"/>
      <c r="G88" s="12"/>
      <c r="H88" s="12"/>
      <c r="I88" s="11" t="n">
        <f aca="false">COUNTIF(Chamados!$C$2:$C$501,A88)</f>
        <v>0</v>
      </c>
    </row>
    <row r="89" customFormat="false" ht="15" hidden="false" customHeight="false" outlineLevel="0" collapsed="false">
      <c r="A89" s="12" t="s">
        <v>142</v>
      </c>
      <c r="B89" s="12"/>
      <c r="C89" s="12"/>
      <c r="D89" s="12"/>
      <c r="E89" s="12"/>
      <c r="F89" s="12"/>
      <c r="G89" s="12"/>
      <c r="H89" s="12"/>
      <c r="I89" s="11" t="n">
        <f aca="false">COUNTIF(Chamados!$C$2:$C$501,A89)</f>
        <v>0</v>
      </c>
    </row>
    <row r="90" customFormat="false" ht="15" hidden="false" customHeight="false" outlineLevel="0" collapsed="false">
      <c r="A90" s="12" t="s">
        <v>143</v>
      </c>
      <c r="B90" s="12"/>
      <c r="C90" s="12"/>
      <c r="D90" s="12"/>
      <c r="E90" s="12"/>
      <c r="F90" s="12"/>
      <c r="G90" s="12"/>
      <c r="H90" s="12"/>
      <c r="I90" s="11" t="n">
        <f aca="false">COUNTIF(Chamados!$C$2:$C$501,A90)</f>
        <v>0</v>
      </c>
    </row>
    <row r="91" customFormat="false" ht="15" hidden="false" customHeight="false" outlineLevel="0" collapsed="false">
      <c r="A91" s="12" t="s">
        <v>144</v>
      </c>
      <c r="B91" s="12"/>
      <c r="C91" s="12"/>
      <c r="D91" s="12"/>
      <c r="E91" s="12"/>
      <c r="F91" s="12"/>
      <c r="G91" s="12"/>
      <c r="H91" s="12"/>
      <c r="I91" s="11" t="n">
        <f aca="false">COUNTIF(Chamados!$C$2:$C$501,A91)</f>
        <v>0</v>
      </c>
    </row>
    <row r="92" customFormat="false" ht="15" hidden="false" customHeight="false" outlineLevel="0" collapsed="false">
      <c r="A92" s="12" t="s">
        <v>145</v>
      </c>
      <c r="B92" s="12"/>
      <c r="C92" s="12"/>
      <c r="D92" s="12"/>
      <c r="E92" s="12"/>
      <c r="F92" s="12"/>
      <c r="G92" s="12"/>
      <c r="H92" s="12"/>
      <c r="I92" s="11" t="n">
        <f aca="false">COUNTIF(Chamados!$C$2:$C$501,A92)</f>
        <v>0</v>
      </c>
    </row>
    <row r="93" customFormat="false" ht="15" hidden="false" customHeight="false" outlineLevel="0" collapsed="false">
      <c r="A93" s="12" t="s">
        <v>146</v>
      </c>
      <c r="B93" s="12"/>
      <c r="C93" s="12"/>
      <c r="D93" s="12"/>
      <c r="E93" s="12"/>
      <c r="F93" s="12"/>
      <c r="G93" s="12"/>
      <c r="H93" s="12"/>
      <c r="I93" s="11" t="n">
        <f aca="false">COUNTIF(Chamados!$C$2:$C$501,A93)</f>
        <v>0</v>
      </c>
    </row>
    <row r="94" customFormat="false" ht="15" hidden="false" customHeight="false" outlineLevel="0" collapsed="false">
      <c r="A94" s="12" t="s">
        <v>147</v>
      </c>
      <c r="B94" s="12"/>
      <c r="C94" s="12"/>
      <c r="D94" s="12"/>
      <c r="E94" s="12"/>
      <c r="F94" s="12"/>
      <c r="G94" s="12"/>
      <c r="H94" s="12"/>
      <c r="I94" s="11" t="n">
        <f aca="false">COUNTIF(Chamados!$C$2:$C$501,A94)</f>
        <v>0</v>
      </c>
    </row>
    <row r="95" customFormat="false" ht="15" hidden="false" customHeight="false" outlineLevel="0" collapsed="false">
      <c r="A95" s="12" t="s">
        <v>148</v>
      </c>
      <c r="B95" s="12"/>
      <c r="C95" s="12"/>
      <c r="D95" s="12"/>
      <c r="E95" s="12"/>
      <c r="F95" s="12"/>
      <c r="G95" s="12"/>
      <c r="H95" s="12"/>
      <c r="I95" s="11" t="n">
        <f aca="false">COUNTIF(Chamados!$C$2:$C$501,A95)</f>
        <v>0</v>
      </c>
    </row>
    <row r="96" customFormat="false" ht="15" hidden="false" customHeight="false" outlineLevel="0" collapsed="false">
      <c r="A96" s="12" t="s">
        <v>149</v>
      </c>
      <c r="B96" s="12"/>
      <c r="C96" s="12"/>
      <c r="D96" s="12"/>
      <c r="E96" s="12"/>
      <c r="F96" s="12"/>
      <c r="G96" s="12"/>
      <c r="H96" s="12"/>
      <c r="I96" s="11" t="n">
        <f aca="false">COUNTIF(Chamados!$C$2:$C$501,A96)</f>
        <v>0</v>
      </c>
    </row>
    <row r="97" customFormat="false" ht="15" hidden="false" customHeight="false" outlineLevel="0" collapsed="false">
      <c r="A97" s="12" t="s">
        <v>150</v>
      </c>
      <c r="B97" s="12"/>
      <c r="C97" s="12"/>
      <c r="D97" s="12"/>
      <c r="E97" s="12"/>
      <c r="F97" s="12"/>
      <c r="G97" s="12"/>
      <c r="H97" s="12"/>
      <c r="I97" s="11" t="n">
        <f aca="false">COUNTIF(Chamados!$C$2:$C$501,A97)</f>
        <v>0</v>
      </c>
    </row>
    <row r="98" customFormat="false" ht="15" hidden="false" customHeight="false" outlineLevel="0" collapsed="false">
      <c r="A98" s="12" t="s">
        <v>151</v>
      </c>
      <c r="B98" s="12"/>
      <c r="C98" s="12"/>
      <c r="D98" s="12"/>
      <c r="E98" s="12"/>
      <c r="F98" s="12"/>
      <c r="G98" s="12"/>
      <c r="H98" s="12"/>
      <c r="I98" s="11" t="n">
        <f aca="false">COUNTIF(Chamados!$C$2:$C$501,A98)</f>
        <v>0</v>
      </c>
    </row>
    <row r="99" customFormat="false" ht="15" hidden="false" customHeight="false" outlineLevel="0" collapsed="false">
      <c r="A99" s="12" t="s">
        <v>152</v>
      </c>
      <c r="B99" s="12"/>
      <c r="C99" s="12"/>
      <c r="D99" s="12"/>
      <c r="E99" s="12"/>
      <c r="F99" s="12"/>
      <c r="G99" s="12"/>
      <c r="H99" s="12"/>
      <c r="I99" s="11" t="n">
        <f aca="false">COUNTIF(Chamados!$C$2:$C$501,A99)</f>
        <v>0</v>
      </c>
    </row>
    <row r="100" customFormat="false" ht="15" hidden="false" customHeight="false" outlineLevel="0" collapsed="false">
      <c r="A100" s="12" t="s">
        <v>153</v>
      </c>
      <c r="B100" s="12"/>
      <c r="C100" s="12"/>
      <c r="D100" s="12"/>
      <c r="E100" s="12"/>
      <c r="F100" s="12"/>
      <c r="G100" s="12"/>
      <c r="H100" s="12"/>
      <c r="I100" s="11" t="n">
        <f aca="false">COUNTIF(Chamados!$C$2:$C$501,A100)</f>
        <v>0</v>
      </c>
    </row>
    <row r="101" customFormat="false" ht="15" hidden="false" customHeight="false" outlineLevel="0" collapsed="false">
      <c r="A101" s="12" t="s">
        <v>154</v>
      </c>
      <c r="B101" s="12"/>
      <c r="C101" s="12"/>
      <c r="D101" s="12"/>
      <c r="E101" s="12"/>
      <c r="F101" s="12"/>
      <c r="G101" s="12"/>
      <c r="H101" s="12"/>
      <c r="I101" s="11" t="n">
        <f aca="false">COUNTIF(Chamados!$C$2:$C$501,A101)</f>
        <v>0</v>
      </c>
    </row>
    <row r="102" customFormat="false" ht="15" hidden="false" customHeight="false" outlineLevel="0" collapsed="false">
      <c r="A102" s="12" t="s">
        <v>155</v>
      </c>
      <c r="B102" s="12"/>
      <c r="C102" s="12"/>
      <c r="D102" s="12"/>
      <c r="E102" s="12"/>
      <c r="F102" s="12"/>
      <c r="G102" s="12"/>
      <c r="H102" s="12"/>
      <c r="I102" s="11" t="n">
        <f aca="false">COUNTIF(Chamados!$C$2:$C$501,A102)</f>
        <v>0</v>
      </c>
    </row>
    <row r="103" customFormat="false" ht="15" hidden="false" customHeight="false" outlineLevel="0" collapsed="false">
      <c r="A103" s="12" t="s">
        <v>156</v>
      </c>
      <c r="B103" s="12"/>
      <c r="C103" s="12"/>
      <c r="D103" s="12"/>
      <c r="E103" s="12"/>
      <c r="F103" s="12"/>
      <c r="G103" s="12"/>
      <c r="H103" s="12"/>
      <c r="I103" s="11" t="n">
        <f aca="false">COUNTIF(Chamados!$C$2:$C$501,A103)</f>
        <v>0</v>
      </c>
    </row>
    <row r="104" customFormat="false" ht="15" hidden="false" customHeight="false" outlineLevel="0" collapsed="false">
      <c r="A104" s="12" t="s">
        <v>157</v>
      </c>
      <c r="B104" s="12"/>
      <c r="C104" s="12"/>
      <c r="D104" s="12"/>
      <c r="E104" s="12"/>
      <c r="F104" s="12"/>
      <c r="G104" s="12"/>
      <c r="H104" s="12"/>
      <c r="I104" s="11" t="n">
        <f aca="false">COUNTIF(Chamados!$C$2:$C$501,A104)</f>
        <v>0</v>
      </c>
    </row>
    <row r="105" customFormat="false" ht="15" hidden="false" customHeight="false" outlineLevel="0" collapsed="false">
      <c r="A105" s="12" t="s">
        <v>158</v>
      </c>
      <c r="B105" s="12"/>
      <c r="C105" s="12"/>
      <c r="D105" s="12"/>
      <c r="E105" s="12"/>
      <c r="F105" s="12"/>
      <c r="G105" s="12"/>
      <c r="H105" s="12"/>
      <c r="I105" s="11" t="n">
        <f aca="false">COUNTIF(Chamados!$C$2:$C$501,A105)</f>
        <v>0</v>
      </c>
    </row>
    <row r="106" customFormat="false" ht="15" hidden="false" customHeight="false" outlineLevel="0" collapsed="false">
      <c r="A106" s="12" t="s">
        <v>159</v>
      </c>
      <c r="B106" s="12"/>
      <c r="C106" s="12"/>
      <c r="D106" s="12"/>
      <c r="E106" s="12"/>
      <c r="F106" s="12"/>
      <c r="G106" s="12"/>
      <c r="H106" s="12"/>
      <c r="I106" s="11" t="n">
        <f aca="false">COUNTIF(Chamados!$C$2:$C$501,A106)</f>
        <v>0</v>
      </c>
    </row>
    <row r="107" customFormat="false" ht="15" hidden="false" customHeight="false" outlineLevel="0" collapsed="false">
      <c r="A107" s="12" t="s">
        <v>160</v>
      </c>
      <c r="B107" s="12"/>
      <c r="C107" s="12"/>
      <c r="D107" s="12"/>
      <c r="E107" s="12"/>
      <c r="F107" s="12"/>
      <c r="G107" s="12"/>
      <c r="H107" s="12"/>
      <c r="I107" s="11" t="n">
        <f aca="false">COUNTIF(Chamados!$C$2:$C$501,A107)</f>
        <v>0</v>
      </c>
    </row>
    <row r="108" customFormat="false" ht="15" hidden="false" customHeight="false" outlineLevel="0" collapsed="false">
      <c r="A108" s="12" t="s">
        <v>161</v>
      </c>
      <c r="B108" s="12"/>
      <c r="C108" s="12"/>
      <c r="D108" s="12"/>
      <c r="E108" s="12"/>
      <c r="F108" s="12"/>
      <c r="G108" s="12"/>
      <c r="H108" s="12"/>
      <c r="I108" s="11" t="n">
        <f aca="false">COUNTIF(Chamados!$C$2:$C$501,A108)</f>
        <v>0</v>
      </c>
    </row>
    <row r="109" customFormat="false" ht="15" hidden="false" customHeight="false" outlineLevel="0" collapsed="false">
      <c r="A109" s="12" t="s">
        <v>162</v>
      </c>
      <c r="B109" s="12"/>
      <c r="C109" s="12"/>
      <c r="D109" s="12"/>
      <c r="E109" s="12"/>
      <c r="F109" s="12"/>
      <c r="G109" s="12"/>
      <c r="H109" s="12"/>
      <c r="I109" s="11" t="n">
        <f aca="false">COUNTIF(Chamados!$C$2:$C$501,A109)</f>
        <v>0</v>
      </c>
    </row>
    <row r="110" customFormat="false" ht="15" hidden="false" customHeight="false" outlineLevel="0" collapsed="false">
      <c r="A110" s="12" t="s">
        <v>163</v>
      </c>
      <c r="B110" s="12"/>
      <c r="C110" s="12"/>
      <c r="D110" s="12"/>
      <c r="E110" s="12"/>
      <c r="F110" s="12"/>
      <c r="G110" s="12"/>
      <c r="H110" s="12"/>
      <c r="I110" s="11" t="n">
        <f aca="false">COUNTIF(Chamados!$C$2:$C$501,A110)</f>
        <v>0</v>
      </c>
    </row>
    <row r="111" customFormat="false" ht="15" hidden="false" customHeight="false" outlineLevel="0" collapsed="false">
      <c r="A111" s="12" t="s">
        <v>164</v>
      </c>
      <c r="B111" s="12"/>
      <c r="C111" s="12"/>
      <c r="D111" s="12"/>
      <c r="E111" s="12"/>
      <c r="F111" s="12"/>
      <c r="G111" s="12"/>
      <c r="H111" s="12"/>
      <c r="I111" s="11" t="n">
        <f aca="false">COUNTIF(Chamados!$C$2:$C$501,A111)</f>
        <v>0</v>
      </c>
    </row>
    <row r="112" customFormat="false" ht="15" hidden="false" customHeight="false" outlineLevel="0" collapsed="false">
      <c r="A112" s="12" t="s">
        <v>165</v>
      </c>
      <c r="B112" s="12"/>
      <c r="C112" s="12"/>
      <c r="D112" s="12"/>
      <c r="E112" s="12"/>
      <c r="F112" s="12"/>
      <c r="G112" s="12"/>
      <c r="H112" s="12"/>
      <c r="I112" s="11" t="n">
        <f aca="false">COUNTIF(Chamados!$C$2:$C$501,A112)</f>
        <v>0</v>
      </c>
    </row>
    <row r="113" customFormat="false" ht="15" hidden="false" customHeight="false" outlineLevel="0" collapsed="false">
      <c r="A113" s="12" t="s">
        <v>166</v>
      </c>
      <c r="B113" s="12"/>
      <c r="C113" s="12"/>
      <c r="D113" s="12"/>
      <c r="E113" s="12"/>
      <c r="F113" s="12"/>
      <c r="G113" s="12"/>
      <c r="H113" s="12"/>
      <c r="I113" s="11" t="n">
        <f aca="false">COUNTIF(Chamados!$C$2:$C$501,A113)</f>
        <v>0</v>
      </c>
    </row>
    <row r="114" customFormat="false" ht="15" hidden="false" customHeight="false" outlineLevel="0" collapsed="false">
      <c r="A114" s="12" t="s">
        <v>167</v>
      </c>
      <c r="B114" s="12"/>
      <c r="C114" s="12"/>
      <c r="D114" s="12"/>
      <c r="E114" s="12"/>
      <c r="F114" s="12"/>
      <c r="G114" s="12"/>
      <c r="H114" s="12"/>
      <c r="I114" s="11" t="n">
        <f aca="false">COUNTIF(Chamados!$C$2:$C$501,A114)</f>
        <v>0</v>
      </c>
    </row>
    <row r="115" customFormat="false" ht="15" hidden="false" customHeight="false" outlineLevel="0" collapsed="false">
      <c r="A115" s="12" t="s">
        <v>168</v>
      </c>
      <c r="B115" s="12"/>
      <c r="C115" s="12"/>
      <c r="D115" s="12"/>
      <c r="E115" s="12"/>
      <c r="F115" s="12"/>
      <c r="G115" s="12"/>
      <c r="H115" s="12"/>
      <c r="I115" s="11" t="n">
        <f aca="false">COUNTIF(Chamados!$C$2:$C$501,A115)</f>
        <v>0</v>
      </c>
    </row>
    <row r="116" customFormat="false" ht="15" hidden="false" customHeight="false" outlineLevel="0" collapsed="false">
      <c r="A116" s="12" t="s">
        <v>169</v>
      </c>
      <c r="B116" s="12"/>
      <c r="C116" s="12"/>
      <c r="D116" s="12"/>
      <c r="E116" s="12"/>
      <c r="F116" s="12"/>
      <c r="G116" s="12"/>
      <c r="H116" s="12"/>
      <c r="I116" s="11" t="n">
        <f aca="false">COUNTIF(Chamados!$C$2:$C$501,A116)</f>
        <v>0</v>
      </c>
    </row>
    <row r="117" customFormat="false" ht="15" hidden="false" customHeight="false" outlineLevel="0" collapsed="false">
      <c r="A117" s="12" t="s">
        <v>170</v>
      </c>
      <c r="B117" s="12"/>
      <c r="C117" s="12"/>
      <c r="D117" s="12"/>
      <c r="E117" s="12"/>
      <c r="F117" s="12"/>
      <c r="G117" s="12"/>
      <c r="H117" s="12"/>
      <c r="I117" s="11" t="n">
        <f aca="false">COUNTIF(Chamados!$C$2:$C$501,A117)</f>
        <v>0</v>
      </c>
    </row>
    <row r="118" customFormat="false" ht="15" hidden="false" customHeight="false" outlineLevel="0" collapsed="false">
      <c r="A118" s="12" t="s">
        <v>171</v>
      </c>
      <c r="B118" s="12"/>
      <c r="C118" s="12"/>
      <c r="D118" s="12"/>
      <c r="E118" s="12"/>
      <c r="F118" s="12"/>
      <c r="G118" s="12"/>
      <c r="H118" s="12"/>
      <c r="I118" s="11" t="n">
        <f aca="false">COUNTIF(Chamados!$C$2:$C$501,A118)</f>
        <v>0</v>
      </c>
    </row>
    <row r="119" customFormat="false" ht="15" hidden="false" customHeight="false" outlineLevel="0" collapsed="false">
      <c r="A119" s="12" t="s">
        <v>172</v>
      </c>
      <c r="B119" s="12"/>
      <c r="C119" s="12"/>
      <c r="D119" s="12"/>
      <c r="E119" s="12"/>
      <c r="F119" s="12"/>
      <c r="G119" s="12"/>
      <c r="H119" s="12"/>
      <c r="I119" s="11" t="n">
        <f aca="false">COUNTIF(Chamados!$C$2:$C$501,A119)</f>
        <v>0</v>
      </c>
    </row>
    <row r="120" customFormat="false" ht="15" hidden="false" customHeight="false" outlineLevel="0" collapsed="false">
      <c r="A120" s="12" t="s">
        <v>173</v>
      </c>
      <c r="B120" s="12"/>
      <c r="C120" s="12"/>
      <c r="D120" s="12"/>
      <c r="E120" s="12"/>
      <c r="F120" s="12"/>
      <c r="G120" s="12"/>
      <c r="H120" s="12"/>
      <c r="I120" s="11" t="n">
        <f aca="false">COUNTIF(Chamados!$C$2:$C$501,A120)</f>
        <v>0</v>
      </c>
    </row>
    <row r="121" customFormat="false" ht="15" hidden="false" customHeight="false" outlineLevel="0" collapsed="false">
      <c r="A121" s="12" t="s">
        <v>174</v>
      </c>
      <c r="B121" s="12"/>
      <c r="C121" s="12"/>
      <c r="D121" s="12"/>
      <c r="E121" s="12"/>
      <c r="F121" s="12"/>
      <c r="G121" s="12"/>
      <c r="H121" s="12"/>
      <c r="I121" s="11" t="n">
        <f aca="false">COUNTIF(Chamados!$C$2:$C$501,A121)</f>
        <v>0</v>
      </c>
    </row>
    <row r="122" customFormat="false" ht="15" hidden="false" customHeight="false" outlineLevel="0" collapsed="false">
      <c r="A122" s="12" t="s">
        <v>175</v>
      </c>
      <c r="B122" s="12"/>
      <c r="C122" s="12"/>
      <c r="D122" s="12"/>
      <c r="E122" s="12"/>
      <c r="F122" s="12"/>
      <c r="G122" s="12"/>
      <c r="H122" s="12"/>
      <c r="I122" s="11" t="n">
        <f aca="false">COUNTIF(Chamados!$C$2:$C$501,A122)</f>
        <v>0</v>
      </c>
    </row>
    <row r="123" customFormat="false" ht="15" hidden="false" customHeight="false" outlineLevel="0" collapsed="false">
      <c r="A123" s="12" t="s">
        <v>176</v>
      </c>
      <c r="B123" s="12"/>
      <c r="C123" s="12"/>
      <c r="D123" s="12"/>
      <c r="E123" s="12"/>
      <c r="F123" s="12"/>
      <c r="G123" s="12"/>
      <c r="H123" s="12"/>
      <c r="I123" s="11" t="n">
        <f aca="false">COUNTIF(Chamados!$C$2:$C$501,A123)</f>
        <v>0</v>
      </c>
    </row>
    <row r="124" customFormat="false" ht="15" hidden="false" customHeight="false" outlineLevel="0" collapsed="false">
      <c r="A124" s="12" t="s">
        <v>177</v>
      </c>
      <c r="B124" s="12"/>
      <c r="C124" s="12"/>
      <c r="D124" s="12"/>
      <c r="E124" s="12"/>
      <c r="F124" s="12"/>
      <c r="G124" s="12"/>
      <c r="H124" s="12"/>
      <c r="I124" s="11" t="n">
        <f aca="false">COUNTIF(Chamados!$C$2:$C$501,A124)</f>
        <v>0</v>
      </c>
    </row>
    <row r="125" customFormat="false" ht="15" hidden="false" customHeight="false" outlineLevel="0" collapsed="false">
      <c r="A125" s="12" t="s">
        <v>178</v>
      </c>
      <c r="B125" s="12"/>
      <c r="C125" s="12"/>
      <c r="D125" s="12"/>
      <c r="E125" s="12"/>
      <c r="F125" s="12"/>
      <c r="G125" s="12"/>
      <c r="H125" s="12"/>
      <c r="I125" s="11" t="n">
        <f aca="false">COUNTIF(Chamados!$C$2:$C$501,A125)</f>
        <v>0</v>
      </c>
    </row>
    <row r="126" customFormat="false" ht="15" hidden="false" customHeight="false" outlineLevel="0" collapsed="false">
      <c r="A126" s="12" t="s">
        <v>179</v>
      </c>
      <c r="B126" s="12"/>
      <c r="C126" s="12"/>
      <c r="D126" s="12"/>
      <c r="E126" s="12"/>
      <c r="F126" s="12"/>
      <c r="G126" s="12"/>
      <c r="H126" s="12"/>
      <c r="I126" s="11" t="n">
        <f aca="false">COUNTIF(Chamados!$C$2:$C$501,A126)</f>
        <v>0</v>
      </c>
    </row>
    <row r="127" customFormat="false" ht="15" hidden="false" customHeight="false" outlineLevel="0" collapsed="false">
      <c r="A127" s="12" t="s">
        <v>180</v>
      </c>
      <c r="B127" s="12"/>
      <c r="C127" s="12"/>
      <c r="D127" s="12"/>
      <c r="E127" s="12"/>
      <c r="F127" s="12"/>
      <c r="G127" s="12"/>
      <c r="H127" s="12"/>
      <c r="I127" s="11" t="n">
        <f aca="false">COUNTIF(Chamados!$C$2:$C$501,A127)</f>
        <v>0</v>
      </c>
    </row>
    <row r="128" customFormat="false" ht="15" hidden="false" customHeight="false" outlineLevel="0" collapsed="false">
      <c r="A128" s="12" t="s">
        <v>181</v>
      </c>
      <c r="B128" s="12"/>
      <c r="C128" s="12"/>
      <c r="D128" s="12"/>
      <c r="E128" s="12"/>
      <c r="F128" s="12"/>
      <c r="G128" s="12"/>
      <c r="H128" s="12"/>
      <c r="I128" s="11" t="n">
        <f aca="false">COUNTIF(Chamados!$C$2:$C$501,A128)</f>
        <v>0</v>
      </c>
    </row>
    <row r="129" customFormat="false" ht="15" hidden="false" customHeight="false" outlineLevel="0" collapsed="false">
      <c r="A129" s="12" t="s">
        <v>182</v>
      </c>
      <c r="B129" s="12"/>
      <c r="C129" s="12"/>
      <c r="D129" s="12"/>
      <c r="E129" s="12"/>
      <c r="F129" s="12"/>
      <c r="G129" s="12"/>
      <c r="H129" s="12"/>
      <c r="I129" s="11" t="n">
        <f aca="false">COUNTIF(Chamados!$C$2:$C$501,A129)</f>
        <v>0</v>
      </c>
    </row>
    <row r="130" customFormat="false" ht="15" hidden="false" customHeight="false" outlineLevel="0" collapsed="false">
      <c r="A130" s="12" t="s">
        <v>183</v>
      </c>
      <c r="B130" s="12"/>
      <c r="C130" s="12"/>
      <c r="D130" s="12"/>
      <c r="E130" s="12"/>
      <c r="F130" s="12"/>
      <c r="G130" s="12"/>
      <c r="H130" s="12"/>
      <c r="I130" s="11" t="n">
        <f aca="false">COUNTIF(Chamados!$C$2:$C$501,A130)</f>
        <v>0</v>
      </c>
    </row>
    <row r="131" customFormat="false" ht="15" hidden="false" customHeight="false" outlineLevel="0" collapsed="false">
      <c r="A131" s="12" t="s">
        <v>184</v>
      </c>
      <c r="B131" s="12"/>
      <c r="C131" s="12"/>
      <c r="D131" s="12"/>
      <c r="E131" s="12"/>
      <c r="F131" s="12"/>
      <c r="G131" s="12"/>
      <c r="H131" s="12"/>
      <c r="I131" s="11" t="n">
        <f aca="false">COUNTIF(Chamados!$C$2:$C$501,A131)</f>
        <v>0</v>
      </c>
    </row>
    <row r="132" customFormat="false" ht="15" hidden="false" customHeight="false" outlineLevel="0" collapsed="false">
      <c r="A132" s="12" t="s">
        <v>185</v>
      </c>
      <c r="B132" s="12"/>
      <c r="C132" s="12"/>
      <c r="D132" s="12"/>
      <c r="E132" s="12"/>
      <c r="F132" s="12"/>
      <c r="G132" s="12"/>
      <c r="H132" s="12"/>
      <c r="I132" s="11" t="n">
        <f aca="false">COUNTIF(Chamados!$C$2:$C$501,A132)</f>
        <v>0</v>
      </c>
    </row>
    <row r="133" customFormat="false" ht="15" hidden="false" customHeight="false" outlineLevel="0" collapsed="false">
      <c r="A133" s="12" t="s">
        <v>186</v>
      </c>
      <c r="B133" s="12"/>
      <c r="C133" s="12"/>
      <c r="D133" s="12"/>
      <c r="E133" s="12"/>
      <c r="F133" s="12"/>
      <c r="G133" s="12"/>
      <c r="H133" s="12"/>
      <c r="I133" s="11" t="n">
        <f aca="false">COUNTIF(Chamados!$C$2:$C$501,A133)</f>
        <v>0</v>
      </c>
    </row>
    <row r="134" customFormat="false" ht="15" hidden="false" customHeight="false" outlineLevel="0" collapsed="false">
      <c r="A134" s="12" t="s">
        <v>187</v>
      </c>
      <c r="B134" s="12"/>
      <c r="C134" s="12"/>
      <c r="D134" s="12"/>
      <c r="E134" s="12"/>
      <c r="F134" s="12"/>
      <c r="G134" s="12"/>
      <c r="H134" s="12"/>
      <c r="I134" s="11" t="n">
        <f aca="false">COUNTIF(Chamados!$C$2:$C$501,A134)</f>
        <v>0</v>
      </c>
    </row>
    <row r="135" customFormat="false" ht="15" hidden="false" customHeight="false" outlineLevel="0" collapsed="false">
      <c r="A135" s="12" t="s">
        <v>188</v>
      </c>
      <c r="B135" s="12"/>
      <c r="C135" s="12"/>
      <c r="D135" s="12"/>
      <c r="E135" s="12"/>
      <c r="F135" s="12"/>
      <c r="G135" s="12"/>
      <c r="H135" s="12"/>
      <c r="I135" s="11" t="n">
        <f aca="false">COUNTIF(Chamados!$C$2:$C$501,A135)</f>
        <v>0</v>
      </c>
    </row>
    <row r="136" customFormat="false" ht="15" hidden="false" customHeight="false" outlineLevel="0" collapsed="false">
      <c r="A136" s="12" t="s">
        <v>189</v>
      </c>
      <c r="B136" s="12"/>
      <c r="C136" s="12"/>
      <c r="D136" s="12"/>
      <c r="E136" s="12"/>
      <c r="F136" s="12"/>
      <c r="G136" s="12"/>
      <c r="H136" s="12"/>
      <c r="I136" s="11" t="n">
        <f aca="false">COUNTIF(Chamados!$C$2:$C$501,A136)</f>
        <v>0</v>
      </c>
    </row>
    <row r="137" customFormat="false" ht="15" hidden="false" customHeight="false" outlineLevel="0" collapsed="false">
      <c r="A137" s="12" t="s">
        <v>190</v>
      </c>
      <c r="B137" s="12"/>
      <c r="C137" s="12"/>
      <c r="D137" s="12"/>
      <c r="E137" s="12"/>
      <c r="F137" s="12"/>
      <c r="G137" s="12"/>
      <c r="H137" s="12"/>
      <c r="I137" s="11" t="n">
        <f aca="false">COUNTIF(Chamados!$C$2:$C$501,A137)</f>
        <v>0</v>
      </c>
    </row>
    <row r="138" customFormat="false" ht="15" hidden="false" customHeight="false" outlineLevel="0" collapsed="false">
      <c r="A138" s="12" t="s">
        <v>191</v>
      </c>
      <c r="B138" s="12"/>
      <c r="C138" s="12"/>
      <c r="D138" s="12"/>
      <c r="E138" s="12"/>
      <c r="F138" s="12"/>
      <c r="G138" s="12"/>
      <c r="H138" s="12"/>
      <c r="I138" s="11" t="n">
        <f aca="false">COUNTIF(Chamados!$C$2:$C$501,A138)</f>
        <v>0</v>
      </c>
    </row>
    <row r="139" customFormat="false" ht="15" hidden="false" customHeight="false" outlineLevel="0" collapsed="false">
      <c r="A139" s="12" t="s">
        <v>192</v>
      </c>
      <c r="B139" s="12"/>
      <c r="C139" s="12"/>
      <c r="D139" s="12"/>
      <c r="E139" s="12"/>
      <c r="F139" s="12"/>
      <c r="G139" s="12"/>
      <c r="H139" s="12"/>
      <c r="I139" s="11" t="n">
        <f aca="false">COUNTIF(Chamados!$C$2:$C$501,A139)</f>
        <v>0</v>
      </c>
    </row>
    <row r="140" customFormat="false" ht="15" hidden="false" customHeight="false" outlineLevel="0" collapsed="false">
      <c r="A140" s="12" t="s">
        <v>193</v>
      </c>
      <c r="B140" s="12"/>
      <c r="C140" s="12"/>
      <c r="D140" s="12"/>
      <c r="E140" s="12"/>
      <c r="F140" s="12"/>
      <c r="G140" s="12"/>
      <c r="H140" s="12"/>
      <c r="I140" s="11" t="n">
        <f aca="false">COUNTIF(Chamados!$C$2:$C$501,A140)</f>
        <v>0</v>
      </c>
    </row>
    <row r="141" customFormat="false" ht="15" hidden="false" customHeight="false" outlineLevel="0" collapsed="false">
      <c r="A141" s="12" t="s">
        <v>194</v>
      </c>
      <c r="B141" s="12"/>
      <c r="C141" s="12"/>
      <c r="D141" s="12"/>
      <c r="E141" s="12"/>
      <c r="F141" s="12"/>
      <c r="G141" s="12"/>
      <c r="H141" s="12"/>
      <c r="I141" s="11" t="n">
        <f aca="false">COUNTIF(Chamados!$C$2:$C$501,A141)</f>
        <v>0</v>
      </c>
    </row>
    <row r="142" customFormat="false" ht="15" hidden="false" customHeight="false" outlineLevel="0" collapsed="false">
      <c r="A142" s="12" t="s">
        <v>195</v>
      </c>
      <c r="B142" s="12"/>
      <c r="C142" s="12"/>
      <c r="D142" s="12"/>
      <c r="E142" s="12"/>
      <c r="F142" s="12"/>
      <c r="G142" s="12"/>
      <c r="H142" s="12"/>
      <c r="I142" s="11" t="n">
        <f aca="false">COUNTIF(Chamados!$C$2:$C$501,A142)</f>
        <v>0</v>
      </c>
    </row>
    <row r="143" customFormat="false" ht="15" hidden="false" customHeight="false" outlineLevel="0" collapsed="false">
      <c r="A143" s="12" t="s">
        <v>196</v>
      </c>
      <c r="B143" s="12"/>
      <c r="C143" s="12"/>
      <c r="D143" s="12"/>
      <c r="E143" s="12"/>
      <c r="F143" s="12"/>
      <c r="G143" s="12"/>
      <c r="H143" s="12"/>
      <c r="I143" s="11" t="n">
        <f aca="false">COUNTIF(Chamados!$C$2:$C$501,A143)</f>
        <v>0</v>
      </c>
    </row>
    <row r="144" customFormat="false" ht="15" hidden="false" customHeight="false" outlineLevel="0" collapsed="false">
      <c r="A144" s="12" t="s">
        <v>197</v>
      </c>
      <c r="B144" s="12"/>
      <c r="C144" s="12"/>
      <c r="D144" s="12"/>
      <c r="E144" s="12"/>
      <c r="F144" s="12"/>
      <c r="G144" s="12"/>
      <c r="H144" s="12"/>
      <c r="I144" s="11" t="n">
        <f aca="false">COUNTIF(Chamados!$C$2:$C$501,A144)</f>
        <v>0</v>
      </c>
    </row>
    <row r="145" customFormat="false" ht="15" hidden="false" customHeight="false" outlineLevel="0" collapsed="false">
      <c r="A145" s="12" t="s">
        <v>198</v>
      </c>
      <c r="B145" s="12"/>
      <c r="C145" s="12"/>
      <c r="D145" s="12"/>
      <c r="E145" s="12"/>
      <c r="F145" s="12"/>
      <c r="G145" s="12"/>
      <c r="H145" s="12"/>
      <c r="I145" s="11" t="n">
        <f aca="false">COUNTIF(Chamados!$C$2:$C$501,A145)</f>
        <v>0</v>
      </c>
    </row>
    <row r="146" customFormat="false" ht="15" hidden="false" customHeight="false" outlineLevel="0" collapsed="false">
      <c r="A146" s="12" t="s">
        <v>199</v>
      </c>
      <c r="B146" s="12"/>
      <c r="C146" s="12"/>
      <c r="D146" s="12"/>
      <c r="E146" s="12"/>
      <c r="F146" s="12"/>
      <c r="G146" s="12"/>
      <c r="H146" s="12"/>
      <c r="I146" s="11" t="n">
        <f aca="false">COUNTIF(Chamados!$C$2:$C$501,A146)</f>
        <v>0</v>
      </c>
    </row>
    <row r="147" customFormat="false" ht="15" hidden="false" customHeight="false" outlineLevel="0" collapsed="false">
      <c r="A147" s="12" t="s">
        <v>200</v>
      </c>
      <c r="B147" s="12"/>
      <c r="C147" s="12"/>
      <c r="D147" s="12"/>
      <c r="E147" s="12"/>
      <c r="F147" s="12"/>
      <c r="G147" s="12"/>
      <c r="H147" s="12"/>
      <c r="I147" s="11" t="n">
        <f aca="false">COUNTIF(Chamados!$C$2:$C$501,A147)</f>
        <v>0</v>
      </c>
    </row>
    <row r="148" customFormat="false" ht="15" hidden="false" customHeight="false" outlineLevel="0" collapsed="false">
      <c r="A148" s="12" t="s">
        <v>201</v>
      </c>
      <c r="B148" s="12"/>
      <c r="C148" s="12"/>
      <c r="D148" s="12"/>
      <c r="E148" s="12"/>
      <c r="F148" s="12"/>
      <c r="G148" s="12"/>
      <c r="H148" s="12"/>
      <c r="I148" s="11" t="n">
        <f aca="false">COUNTIF(Chamados!$C$2:$C$501,A148)</f>
        <v>0</v>
      </c>
    </row>
    <row r="149" customFormat="false" ht="15" hidden="false" customHeight="false" outlineLevel="0" collapsed="false">
      <c r="A149" s="12" t="s">
        <v>202</v>
      </c>
      <c r="B149" s="12"/>
      <c r="C149" s="12"/>
      <c r="D149" s="12"/>
      <c r="E149" s="12"/>
      <c r="F149" s="12"/>
      <c r="G149" s="12"/>
      <c r="H149" s="12"/>
      <c r="I149" s="11" t="n">
        <f aca="false">COUNTIF(Chamados!$C$2:$C$501,A149)</f>
        <v>0</v>
      </c>
    </row>
    <row r="150" customFormat="false" ht="15" hidden="false" customHeight="false" outlineLevel="0" collapsed="false">
      <c r="A150" s="12" t="s">
        <v>203</v>
      </c>
      <c r="B150" s="12"/>
      <c r="C150" s="12"/>
      <c r="D150" s="12"/>
      <c r="E150" s="12"/>
      <c r="F150" s="12"/>
      <c r="G150" s="12"/>
      <c r="H150" s="12"/>
      <c r="I150" s="11" t="n">
        <f aca="false">COUNTIF(Chamados!$C$2:$C$501,A150)</f>
        <v>0</v>
      </c>
    </row>
    <row r="151" customFormat="false" ht="15" hidden="false" customHeight="false" outlineLevel="0" collapsed="false">
      <c r="A151" s="12" t="s">
        <v>204</v>
      </c>
      <c r="B151" s="12"/>
      <c r="C151" s="12"/>
      <c r="D151" s="12"/>
      <c r="E151" s="12"/>
      <c r="F151" s="12"/>
      <c r="G151" s="12"/>
      <c r="H151" s="12"/>
      <c r="I151" s="11" t="n">
        <f aca="false">COUNTIF(Chamados!$C$2:$C$501,A151)</f>
        <v>0</v>
      </c>
    </row>
    <row r="152" customFormat="false" ht="15" hidden="false" customHeight="false" outlineLevel="0" collapsed="false">
      <c r="A152" s="12" t="s">
        <v>205</v>
      </c>
      <c r="B152" s="12"/>
      <c r="C152" s="12"/>
      <c r="D152" s="12"/>
      <c r="E152" s="12"/>
      <c r="F152" s="12"/>
      <c r="G152" s="12"/>
      <c r="H152" s="12"/>
      <c r="I152" s="11" t="n">
        <f aca="false">COUNTIF(Chamados!$C$2:$C$501,A152)</f>
        <v>0</v>
      </c>
    </row>
    <row r="153" customFormat="false" ht="15" hidden="false" customHeight="false" outlineLevel="0" collapsed="false">
      <c r="A153" s="12" t="s">
        <v>206</v>
      </c>
      <c r="B153" s="12"/>
      <c r="C153" s="12"/>
      <c r="D153" s="12"/>
      <c r="E153" s="12"/>
      <c r="F153" s="12"/>
      <c r="G153" s="12"/>
      <c r="H153" s="12"/>
      <c r="I153" s="11" t="n">
        <f aca="false">COUNTIF(Chamados!$C$2:$C$501,A153)</f>
        <v>0</v>
      </c>
    </row>
    <row r="154" customFormat="false" ht="15" hidden="false" customHeight="false" outlineLevel="0" collapsed="false">
      <c r="A154" s="12" t="s">
        <v>207</v>
      </c>
      <c r="B154" s="12"/>
      <c r="C154" s="12"/>
      <c r="D154" s="12"/>
      <c r="E154" s="12"/>
      <c r="F154" s="12"/>
      <c r="G154" s="12"/>
      <c r="H154" s="12"/>
      <c r="I154" s="11" t="n">
        <f aca="false">COUNTIF(Chamados!$C$2:$C$501,A154)</f>
        <v>0</v>
      </c>
    </row>
    <row r="155" customFormat="false" ht="15" hidden="false" customHeight="false" outlineLevel="0" collapsed="false">
      <c r="A155" s="12" t="s">
        <v>208</v>
      </c>
      <c r="B155" s="12"/>
      <c r="C155" s="12"/>
      <c r="D155" s="12"/>
      <c r="E155" s="12"/>
      <c r="F155" s="12"/>
      <c r="G155" s="12"/>
      <c r="H155" s="12"/>
      <c r="I155" s="11" t="n">
        <f aca="false">COUNTIF(Chamados!$C$2:$C$501,A155)</f>
        <v>0</v>
      </c>
    </row>
    <row r="156" customFormat="false" ht="15" hidden="false" customHeight="false" outlineLevel="0" collapsed="false">
      <c r="A156" s="12" t="s">
        <v>209</v>
      </c>
      <c r="B156" s="12"/>
      <c r="C156" s="12"/>
      <c r="D156" s="12"/>
      <c r="E156" s="12"/>
      <c r="F156" s="12"/>
      <c r="G156" s="12"/>
      <c r="H156" s="12"/>
      <c r="I156" s="11" t="n">
        <f aca="false">COUNTIF(Chamados!$C$2:$C$501,A156)</f>
        <v>0</v>
      </c>
    </row>
    <row r="157" customFormat="false" ht="15" hidden="false" customHeight="false" outlineLevel="0" collapsed="false">
      <c r="A157" s="12" t="s">
        <v>210</v>
      </c>
      <c r="B157" s="12"/>
      <c r="C157" s="12"/>
      <c r="D157" s="12"/>
      <c r="E157" s="12"/>
      <c r="F157" s="12"/>
      <c r="G157" s="12"/>
      <c r="H157" s="12"/>
      <c r="I157" s="11" t="n">
        <f aca="false">COUNTIF(Chamados!$C$2:$C$501,A157)</f>
        <v>0</v>
      </c>
    </row>
    <row r="158" customFormat="false" ht="15" hidden="false" customHeight="false" outlineLevel="0" collapsed="false">
      <c r="A158" s="12" t="s">
        <v>211</v>
      </c>
      <c r="B158" s="12"/>
      <c r="C158" s="12"/>
      <c r="D158" s="12"/>
      <c r="E158" s="12"/>
      <c r="F158" s="12"/>
      <c r="G158" s="12"/>
      <c r="H158" s="12"/>
      <c r="I158" s="11" t="n">
        <f aca="false">COUNTIF(Chamados!$C$2:$C$501,A158)</f>
        <v>0</v>
      </c>
    </row>
    <row r="159" customFormat="false" ht="15" hidden="false" customHeight="false" outlineLevel="0" collapsed="false">
      <c r="A159" s="12" t="s">
        <v>212</v>
      </c>
      <c r="B159" s="12"/>
      <c r="C159" s="12"/>
      <c r="D159" s="12"/>
      <c r="E159" s="12"/>
      <c r="F159" s="12"/>
      <c r="G159" s="12"/>
      <c r="H159" s="12"/>
      <c r="I159" s="11" t="n">
        <f aca="false">COUNTIF(Chamados!$C$2:$C$501,A159)</f>
        <v>0</v>
      </c>
    </row>
    <row r="160" customFormat="false" ht="15" hidden="false" customHeight="false" outlineLevel="0" collapsed="false">
      <c r="A160" s="12" t="s">
        <v>213</v>
      </c>
      <c r="B160" s="12"/>
      <c r="C160" s="12"/>
      <c r="D160" s="12"/>
      <c r="E160" s="12"/>
      <c r="F160" s="12"/>
      <c r="G160" s="12"/>
      <c r="H160" s="12"/>
      <c r="I160" s="11" t="n">
        <f aca="false">COUNTIF(Chamados!$C$2:$C$501,A160)</f>
        <v>0</v>
      </c>
    </row>
    <row r="161" customFormat="false" ht="15" hidden="false" customHeight="false" outlineLevel="0" collapsed="false">
      <c r="A161" s="12" t="s">
        <v>214</v>
      </c>
      <c r="B161" s="12"/>
      <c r="C161" s="12"/>
      <c r="D161" s="12"/>
      <c r="E161" s="12"/>
      <c r="F161" s="12"/>
      <c r="G161" s="12"/>
      <c r="H161" s="12"/>
      <c r="I161" s="11" t="n">
        <f aca="false">COUNTIF(Chamados!$C$2:$C$501,A161)</f>
        <v>0</v>
      </c>
    </row>
    <row r="162" customFormat="false" ht="15" hidden="false" customHeight="false" outlineLevel="0" collapsed="false">
      <c r="A162" s="12" t="s">
        <v>215</v>
      </c>
      <c r="B162" s="12"/>
      <c r="C162" s="12"/>
      <c r="D162" s="12"/>
      <c r="E162" s="12"/>
      <c r="F162" s="12"/>
      <c r="G162" s="12"/>
      <c r="H162" s="12"/>
      <c r="I162" s="11" t="n">
        <f aca="false">COUNTIF(Chamados!$C$2:$C$501,A162)</f>
        <v>0</v>
      </c>
    </row>
    <row r="163" customFormat="false" ht="15" hidden="false" customHeight="false" outlineLevel="0" collapsed="false">
      <c r="A163" s="12" t="s">
        <v>216</v>
      </c>
      <c r="B163" s="12"/>
      <c r="C163" s="12"/>
      <c r="D163" s="12"/>
      <c r="E163" s="12"/>
      <c r="F163" s="12"/>
      <c r="G163" s="12"/>
      <c r="H163" s="12"/>
      <c r="I163" s="11" t="n">
        <f aca="false">COUNTIF(Chamados!$C$2:$C$501,A163)</f>
        <v>0</v>
      </c>
    </row>
    <row r="164" customFormat="false" ht="15" hidden="false" customHeight="false" outlineLevel="0" collapsed="false">
      <c r="A164" s="12" t="s">
        <v>217</v>
      </c>
      <c r="B164" s="12"/>
      <c r="C164" s="12"/>
      <c r="D164" s="12"/>
      <c r="E164" s="12"/>
      <c r="F164" s="12"/>
      <c r="G164" s="12"/>
      <c r="H164" s="12"/>
      <c r="I164" s="11" t="n">
        <f aca="false">COUNTIF(Chamados!$C$2:$C$501,A164)</f>
        <v>0</v>
      </c>
    </row>
    <row r="165" customFormat="false" ht="15" hidden="false" customHeight="false" outlineLevel="0" collapsed="false">
      <c r="A165" s="12" t="s">
        <v>218</v>
      </c>
      <c r="B165" s="12"/>
      <c r="C165" s="12"/>
      <c r="D165" s="12"/>
      <c r="E165" s="12"/>
      <c r="F165" s="12"/>
      <c r="G165" s="12"/>
      <c r="H165" s="12"/>
      <c r="I165" s="11" t="n">
        <f aca="false">COUNTIF(Chamados!$C$2:$C$501,A165)</f>
        <v>0</v>
      </c>
    </row>
    <row r="166" customFormat="false" ht="15" hidden="false" customHeight="false" outlineLevel="0" collapsed="false">
      <c r="A166" s="12" t="s">
        <v>219</v>
      </c>
      <c r="B166" s="12"/>
      <c r="C166" s="12"/>
      <c r="D166" s="12"/>
      <c r="E166" s="12"/>
      <c r="F166" s="12"/>
      <c r="G166" s="12"/>
      <c r="H166" s="12"/>
      <c r="I166" s="11" t="n">
        <f aca="false">COUNTIF(Chamados!$C$2:$C$501,A166)</f>
        <v>0</v>
      </c>
    </row>
    <row r="167" customFormat="false" ht="15" hidden="false" customHeight="false" outlineLevel="0" collapsed="false">
      <c r="A167" s="12" t="s">
        <v>220</v>
      </c>
      <c r="B167" s="12"/>
      <c r="C167" s="12"/>
      <c r="D167" s="12"/>
      <c r="E167" s="12"/>
      <c r="F167" s="12"/>
      <c r="G167" s="12"/>
      <c r="H167" s="12"/>
      <c r="I167" s="11" t="n">
        <f aca="false">COUNTIF(Chamados!$C$2:$C$501,A167)</f>
        <v>0</v>
      </c>
    </row>
    <row r="168" customFormat="false" ht="15" hidden="false" customHeight="false" outlineLevel="0" collapsed="false">
      <c r="A168" s="12" t="s">
        <v>221</v>
      </c>
      <c r="B168" s="12"/>
      <c r="C168" s="12"/>
      <c r="D168" s="12"/>
      <c r="E168" s="12"/>
      <c r="F168" s="12"/>
      <c r="G168" s="12"/>
      <c r="H168" s="12"/>
      <c r="I168" s="11" t="n">
        <f aca="false">COUNTIF(Chamados!$C$2:$C$501,A168)</f>
        <v>0</v>
      </c>
    </row>
    <row r="169" customFormat="false" ht="15" hidden="false" customHeight="false" outlineLevel="0" collapsed="false">
      <c r="A169" s="12" t="s">
        <v>222</v>
      </c>
      <c r="B169" s="12"/>
      <c r="C169" s="12"/>
      <c r="D169" s="12"/>
      <c r="E169" s="12"/>
      <c r="F169" s="12"/>
      <c r="G169" s="12"/>
      <c r="H169" s="12"/>
      <c r="I169" s="11" t="n">
        <f aca="false">COUNTIF(Chamados!$C$2:$C$501,A169)</f>
        <v>0</v>
      </c>
    </row>
    <row r="170" customFormat="false" ht="15" hidden="false" customHeight="false" outlineLevel="0" collapsed="false">
      <c r="A170" s="12" t="s">
        <v>223</v>
      </c>
      <c r="B170" s="12"/>
      <c r="C170" s="12"/>
      <c r="D170" s="12"/>
      <c r="E170" s="12"/>
      <c r="F170" s="12"/>
      <c r="G170" s="12"/>
      <c r="H170" s="12"/>
      <c r="I170" s="11" t="n">
        <f aca="false">COUNTIF(Chamados!$C$2:$C$501,A170)</f>
        <v>0</v>
      </c>
    </row>
    <row r="171" customFormat="false" ht="15" hidden="false" customHeight="false" outlineLevel="0" collapsed="false">
      <c r="A171" s="12" t="s">
        <v>224</v>
      </c>
      <c r="B171" s="12"/>
      <c r="C171" s="12"/>
      <c r="D171" s="12"/>
      <c r="E171" s="12"/>
      <c r="F171" s="12"/>
      <c r="G171" s="12"/>
      <c r="H171" s="12"/>
      <c r="I171" s="11" t="n">
        <f aca="false">COUNTIF(Chamados!$C$2:$C$501,A171)</f>
        <v>0</v>
      </c>
    </row>
    <row r="172" customFormat="false" ht="15" hidden="false" customHeight="false" outlineLevel="0" collapsed="false">
      <c r="A172" s="12" t="s">
        <v>225</v>
      </c>
      <c r="B172" s="12"/>
      <c r="C172" s="12"/>
      <c r="D172" s="12"/>
      <c r="E172" s="12"/>
      <c r="F172" s="12"/>
      <c r="G172" s="12"/>
      <c r="H172" s="12"/>
      <c r="I172" s="11" t="n">
        <f aca="false">COUNTIF(Chamados!$C$2:$C$501,A172)</f>
        <v>0</v>
      </c>
    </row>
    <row r="173" customFormat="false" ht="15" hidden="false" customHeight="false" outlineLevel="0" collapsed="false">
      <c r="A173" s="12" t="s">
        <v>226</v>
      </c>
      <c r="B173" s="12"/>
      <c r="C173" s="12"/>
      <c r="D173" s="12"/>
      <c r="E173" s="12"/>
      <c r="F173" s="12"/>
      <c r="G173" s="12"/>
      <c r="H173" s="12"/>
      <c r="I173" s="11" t="n">
        <f aca="false">COUNTIF(Chamados!$C$2:$C$501,A173)</f>
        <v>0</v>
      </c>
    </row>
    <row r="174" customFormat="false" ht="15" hidden="false" customHeight="false" outlineLevel="0" collapsed="false">
      <c r="A174" s="12" t="s">
        <v>227</v>
      </c>
      <c r="B174" s="12"/>
      <c r="C174" s="12"/>
      <c r="D174" s="12"/>
      <c r="E174" s="12"/>
      <c r="F174" s="12"/>
      <c r="G174" s="12"/>
      <c r="H174" s="12"/>
      <c r="I174" s="11" t="n">
        <f aca="false">COUNTIF(Chamados!$C$2:$C$501,A174)</f>
        <v>0</v>
      </c>
    </row>
    <row r="175" customFormat="false" ht="15" hidden="false" customHeight="false" outlineLevel="0" collapsed="false">
      <c r="A175" s="12" t="s">
        <v>228</v>
      </c>
      <c r="B175" s="12"/>
      <c r="C175" s="12"/>
      <c r="D175" s="12"/>
      <c r="E175" s="12"/>
      <c r="F175" s="12"/>
      <c r="G175" s="12"/>
      <c r="H175" s="12"/>
      <c r="I175" s="11" t="n">
        <f aca="false">COUNTIF(Chamados!$C$2:$C$501,A175)</f>
        <v>0</v>
      </c>
    </row>
    <row r="176" customFormat="false" ht="15" hidden="false" customHeight="false" outlineLevel="0" collapsed="false">
      <c r="A176" s="12" t="s">
        <v>229</v>
      </c>
      <c r="B176" s="12"/>
      <c r="C176" s="12"/>
      <c r="D176" s="12"/>
      <c r="E176" s="12"/>
      <c r="F176" s="12"/>
      <c r="G176" s="12"/>
      <c r="H176" s="12"/>
      <c r="I176" s="11" t="n">
        <f aca="false">COUNTIF(Chamados!$C$2:$C$501,A176)</f>
        <v>0</v>
      </c>
    </row>
    <row r="177" customFormat="false" ht="15" hidden="false" customHeight="false" outlineLevel="0" collapsed="false">
      <c r="A177" s="12" t="s">
        <v>230</v>
      </c>
      <c r="B177" s="12"/>
      <c r="C177" s="12"/>
      <c r="D177" s="12"/>
      <c r="E177" s="12"/>
      <c r="F177" s="12"/>
      <c r="G177" s="12"/>
      <c r="H177" s="12"/>
      <c r="I177" s="11" t="n">
        <f aca="false">COUNTIF(Chamados!$C$2:$C$501,A177)</f>
        <v>0</v>
      </c>
    </row>
    <row r="178" customFormat="false" ht="15" hidden="false" customHeight="false" outlineLevel="0" collapsed="false">
      <c r="A178" s="12" t="s">
        <v>231</v>
      </c>
      <c r="B178" s="12"/>
      <c r="C178" s="12"/>
      <c r="D178" s="12"/>
      <c r="E178" s="12"/>
      <c r="F178" s="12"/>
      <c r="G178" s="12"/>
      <c r="H178" s="12"/>
      <c r="I178" s="11" t="n">
        <f aca="false">COUNTIF(Chamados!$C$2:$C$501,A178)</f>
        <v>0</v>
      </c>
    </row>
    <row r="179" customFormat="false" ht="15" hidden="false" customHeight="false" outlineLevel="0" collapsed="false">
      <c r="A179" s="12" t="s">
        <v>232</v>
      </c>
      <c r="B179" s="12"/>
      <c r="C179" s="12"/>
      <c r="D179" s="12"/>
      <c r="E179" s="12"/>
      <c r="F179" s="12"/>
      <c r="G179" s="12"/>
      <c r="H179" s="12"/>
      <c r="I179" s="11" t="n">
        <f aca="false">COUNTIF(Chamados!$C$2:$C$501,A179)</f>
        <v>0</v>
      </c>
    </row>
    <row r="180" customFormat="false" ht="15" hidden="false" customHeight="false" outlineLevel="0" collapsed="false">
      <c r="A180" s="12" t="s">
        <v>233</v>
      </c>
      <c r="B180" s="12"/>
      <c r="C180" s="12"/>
      <c r="D180" s="12"/>
      <c r="E180" s="12"/>
      <c r="F180" s="12"/>
      <c r="G180" s="12"/>
      <c r="H180" s="12"/>
      <c r="I180" s="11" t="n">
        <f aca="false">COUNTIF(Chamados!$C$2:$C$501,A180)</f>
        <v>0</v>
      </c>
    </row>
    <row r="181" customFormat="false" ht="15" hidden="false" customHeight="false" outlineLevel="0" collapsed="false">
      <c r="A181" s="12" t="s">
        <v>234</v>
      </c>
      <c r="B181" s="12"/>
      <c r="C181" s="12"/>
      <c r="D181" s="12"/>
      <c r="E181" s="12"/>
      <c r="F181" s="12"/>
      <c r="G181" s="12"/>
      <c r="H181" s="12"/>
      <c r="I181" s="11" t="n">
        <f aca="false">COUNTIF(Chamados!$C$2:$C$501,A181)</f>
        <v>0</v>
      </c>
    </row>
    <row r="182" customFormat="false" ht="15" hidden="false" customHeight="false" outlineLevel="0" collapsed="false">
      <c r="A182" s="12" t="s">
        <v>235</v>
      </c>
      <c r="B182" s="12"/>
      <c r="C182" s="12"/>
      <c r="D182" s="12"/>
      <c r="E182" s="12"/>
      <c r="F182" s="12"/>
      <c r="G182" s="12"/>
      <c r="H182" s="12"/>
      <c r="I182" s="11" t="n">
        <f aca="false">COUNTIF(Chamados!$C$2:$C$501,A182)</f>
        <v>0</v>
      </c>
    </row>
    <row r="183" customFormat="false" ht="15" hidden="false" customHeight="false" outlineLevel="0" collapsed="false">
      <c r="A183" s="12" t="s">
        <v>236</v>
      </c>
      <c r="B183" s="12"/>
      <c r="C183" s="12"/>
      <c r="D183" s="12"/>
      <c r="E183" s="12"/>
      <c r="F183" s="12"/>
      <c r="G183" s="12"/>
      <c r="H183" s="12"/>
      <c r="I183" s="11" t="n">
        <f aca="false">COUNTIF(Chamados!$C$2:$C$501,A183)</f>
        <v>0</v>
      </c>
    </row>
    <row r="184" customFormat="false" ht="15" hidden="false" customHeight="false" outlineLevel="0" collapsed="false">
      <c r="A184" s="12" t="s">
        <v>237</v>
      </c>
      <c r="B184" s="12"/>
      <c r="C184" s="12"/>
      <c r="D184" s="12"/>
      <c r="E184" s="12"/>
      <c r="F184" s="12"/>
      <c r="G184" s="12"/>
      <c r="H184" s="12"/>
      <c r="I184" s="11" t="n">
        <f aca="false">COUNTIF(Chamados!$C$2:$C$501,A184)</f>
        <v>0</v>
      </c>
    </row>
    <row r="185" customFormat="false" ht="15" hidden="false" customHeight="false" outlineLevel="0" collapsed="false">
      <c r="A185" s="12" t="s">
        <v>238</v>
      </c>
      <c r="B185" s="12"/>
      <c r="C185" s="12"/>
      <c r="D185" s="12"/>
      <c r="E185" s="12"/>
      <c r="F185" s="12"/>
      <c r="G185" s="12"/>
      <c r="H185" s="12"/>
      <c r="I185" s="11" t="n">
        <f aca="false">COUNTIF(Chamados!$C$2:$C$501,A185)</f>
        <v>0</v>
      </c>
    </row>
    <row r="186" customFormat="false" ht="15" hidden="false" customHeight="false" outlineLevel="0" collapsed="false">
      <c r="A186" s="12" t="s">
        <v>239</v>
      </c>
      <c r="B186" s="12"/>
      <c r="C186" s="12"/>
      <c r="D186" s="12"/>
      <c r="E186" s="12"/>
      <c r="F186" s="12"/>
      <c r="G186" s="12"/>
      <c r="H186" s="12"/>
      <c r="I186" s="11" t="n">
        <f aca="false">COUNTIF(Chamados!$C$2:$C$501,A186)</f>
        <v>0</v>
      </c>
    </row>
    <row r="187" customFormat="false" ht="15" hidden="false" customHeight="false" outlineLevel="0" collapsed="false">
      <c r="A187" s="12" t="s">
        <v>240</v>
      </c>
      <c r="B187" s="12"/>
      <c r="C187" s="12"/>
      <c r="D187" s="12"/>
      <c r="E187" s="12"/>
      <c r="F187" s="12"/>
      <c r="G187" s="12"/>
      <c r="H187" s="12"/>
      <c r="I187" s="11" t="n">
        <f aca="false">COUNTIF(Chamados!$C$2:$C$501,A187)</f>
        <v>0</v>
      </c>
    </row>
    <row r="188" customFormat="false" ht="15" hidden="false" customHeight="false" outlineLevel="0" collapsed="false">
      <c r="A188" s="12" t="s">
        <v>241</v>
      </c>
      <c r="B188" s="12"/>
      <c r="C188" s="12"/>
      <c r="D188" s="12"/>
      <c r="E188" s="12"/>
      <c r="F188" s="12"/>
      <c r="G188" s="12"/>
      <c r="H188" s="12"/>
      <c r="I188" s="11" t="n">
        <f aca="false">COUNTIF(Chamados!$C$2:$C$501,A188)</f>
        <v>0</v>
      </c>
    </row>
    <row r="189" customFormat="false" ht="15" hidden="false" customHeight="false" outlineLevel="0" collapsed="false">
      <c r="A189" s="12" t="s">
        <v>242</v>
      </c>
      <c r="B189" s="12"/>
      <c r="C189" s="12"/>
      <c r="D189" s="12"/>
      <c r="E189" s="12"/>
      <c r="F189" s="12"/>
      <c r="G189" s="12"/>
      <c r="H189" s="12"/>
      <c r="I189" s="11" t="n">
        <f aca="false">COUNTIF(Chamados!$C$2:$C$501,A189)</f>
        <v>0</v>
      </c>
    </row>
    <row r="190" customFormat="false" ht="15" hidden="false" customHeight="false" outlineLevel="0" collapsed="false">
      <c r="A190" s="12" t="s">
        <v>243</v>
      </c>
      <c r="B190" s="12"/>
      <c r="C190" s="12"/>
      <c r="D190" s="12"/>
      <c r="E190" s="12"/>
      <c r="F190" s="12"/>
      <c r="G190" s="12"/>
      <c r="H190" s="12"/>
      <c r="I190" s="11" t="n">
        <f aca="false">COUNTIF(Chamados!$C$2:$C$501,A190)</f>
        <v>0</v>
      </c>
    </row>
    <row r="191" customFormat="false" ht="15" hidden="false" customHeight="false" outlineLevel="0" collapsed="false">
      <c r="A191" s="12" t="s">
        <v>244</v>
      </c>
      <c r="B191" s="12"/>
      <c r="C191" s="12"/>
      <c r="D191" s="12"/>
      <c r="E191" s="12"/>
      <c r="F191" s="12"/>
      <c r="G191" s="12"/>
      <c r="H191" s="12"/>
      <c r="I191" s="11" t="n">
        <f aca="false">COUNTIF(Chamados!$C$2:$C$501,A191)</f>
        <v>0</v>
      </c>
    </row>
    <row r="192" customFormat="false" ht="15" hidden="false" customHeight="false" outlineLevel="0" collapsed="false">
      <c r="A192" s="12" t="s">
        <v>245</v>
      </c>
      <c r="B192" s="12"/>
      <c r="C192" s="12"/>
      <c r="D192" s="12"/>
      <c r="E192" s="12"/>
      <c r="F192" s="12"/>
      <c r="G192" s="12"/>
      <c r="H192" s="12"/>
      <c r="I192" s="11" t="n">
        <f aca="false">COUNTIF(Chamados!$C$2:$C$501,A192)</f>
        <v>0</v>
      </c>
    </row>
    <row r="193" customFormat="false" ht="15" hidden="false" customHeight="false" outlineLevel="0" collapsed="false">
      <c r="A193" s="12" t="s">
        <v>246</v>
      </c>
      <c r="B193" s="12"/>
      <c r="C193" s="12"/>
      <c r="D193" s="12"/>
      <c r="E193" s="12"/>
      <c r="F193" s="12"/>
      <c r="G193" s="12"/>
      <c r="H193" s="12"/>
      <c r="I193" s="11" t="n">
        <f aca="false">COUNTIF(Chamados!$C$2:$C$501,A193)</f>
        <v>0</v>
      </c>
    </row>
    <row r="194" customFormat="false" ht="15" hidden="false" customHeight="false" outlineLevel="0" collapsed="false">
      <c r="A194" s="12" t="s">
        <v>247</v>
      </c>
      <c r="B194" s="12"/>
      <c r="C194" s="12"/>
      <c r="D194" s="12"/>
      <c r="E194" s="12"/>
      <c r="F194" s="12"/>
      <c r="G194" s="12"/>
      <c r="H194" s="12"/>
      <c r="I194" s="11" t="n">
        <f aca="false">COUNTIF(Chamados!$C$2:$C$501,A194)</f>
        <v>0</v>
      </c>
    </row>
    <row r="195" customFormat="false" ht="15" hidden="false" customHeight="false" outlineLevel="0" collapsed="false">
      <c r="A195" s="12" t="s">
        <v>248</v>
      </c>
      <c r="B195" s="12"/>
      <c r="C195" s="12"/>
      <c r="D195" s="12"/>
      <c r="E195" s="12"/>
      <c r="F195" s="12"/>
      <c r="G195" s="12"/>
      <c r="H195" s="12"/>
      <c r="I195" s="11" t="n">
        <f aca="false">COUNTIF(Chamados!$C$2:$C$501,A195)</f>
        <v>0</v>
      </c>
    </row>
    <row r="196" customFormat="false" ht="15" hidden="false" customHeight="false" outlineLevel="0" collapsed="false">
      <c r="A196" s="12" t="s">
        <v>249</v>
      </c>
      <c r="B196" s="12"/>
      <c r="C196" s="12"/>
      <c r="D196" s="12"/>
      <c r="E196" s="12"/>
      <c r="F196" s="12"/>
      <c r="G196" s="12"/>
      <c r="H196" s="12"/>
      <c r="I196" s="11" t="n">
        <f aca="false">COUNTIF(Chamados!$C$2:$C$501,A196)</f>
        <v>0</v>
      </c>
    </row>
    <row r="197" customFormat="false" ht="15" hidden="false" customHeight="false" outlineLevel="0" collapsed="false">
      <c r="A197" s="12" t="s">
        <v>250</v>
      </c>
      <c r="B197" s="12"/>
      <c r="C197" s="12"/>
      <c r="D197" s="12"/>
      <c r="E197" s="12"/>
      <c r="F197" s="12"/>
      <c r="G197" s="12"/>
      <c r="H197" s="12"/>
      <c r="I197" s="11" t="n">
        <f aca="false">COUNTIF(Chamados!$C$2:$C$501,A197)</f>
        <v>0</v>
      </c>
    </row>
    <row r="198" customFormat="false" ht="15" hidden="false" customHeight="false" outlineLevel="0" collapsed="false">
      <c r="A198" s="12" t="s">
        <v>251</v>
      </c>
      <c r="B198" s="12"/>
      <c r="C198" s="12"/>
      <c r="D198" s="12"/>
      <c r="E198" s="12"/>
      <c r="F198" s="12"/>
      <c r="G198" s="12"/>
      <c r="H198" s="12"/>
      <c r="I198" s="11" t="n">
        <f aca="false">COUNTIF(Chamados!$C$2:$C$501,A198)</f>
        <v>0</v>
      </c>
    </row>
    <row r="199" customFormat="false" ht="15" hidden="false" customHeight="false" outlineLevel="0" collapsed="false">
      <c r="A199" s="12" t="s">
        <v>252</v>
      </c>
      <c r="B199" s="12"/>
      <c r="C199" s="12"/>
      <c r="D199" s="12"/>
      <c r="E199" s="12"/>
      <c r="F199" s="12"/>
      <c r="G199" s="12"/>
      <c r="H199" s="12"/>
      <c r="I199" s="11" t="n">
        <f aca="false">COUNTIF(Chamados!$C$2:$C$501,A199)</f>
        <v>0</v>
      </c>
    </row>
    <row r="200" customFormat="false" ht="15" hidden="false" customHeight="false" outlineLevel="0" collapsed="false">
      <c r="A200" s="12" t="s">
        <v>253</v>
      </c>
      <c r="B200" s="12"/>
      <c r="C200" s="12"/>
      <c r="D200" s="12"/>
      <c r="E200" s="12"/>
      <c r="F200" s="12"/>
      <c r="G200" s="12"/>
      <c r="H200" s="12"/>
      <c r="I200" s="11" t="n">
        <f aca="false">COUNTIF(Chamados!$C$2:$C$501,A200)</f>
        <v>0</v>
      </c>
    </row>
    <row r="201" customFormat="false" ht="15" hidden="false" customHeight="false" outlineLevel="0" collapsed="false">
      <c r="A201" s="12" t="s">
        <v>254</v>
      </c>
      <c r="B201" s="12"/>
      <c r="C201" s="12"/>
      <c r="D201" s="12"/>
      <c r="E201" s="12"/>
      <c r="F201" s="12"/>
      <c r="G201" s="12"/>
      <c r="H201" s="12"/>
      <c r="I201" s="11" t="n">
        <f aca="false">COUNTIF(Chamados!$C$2:$C$501,A201)</f>
        <v>0</v>
      </c>
    </row>
    <row r="202" customFormat="false" ht="15" hidden="false" customHeight="false" outlineLevel="0" collapsed="false">
      <c r="A202" s="12" t="s">
        <v>255</v>
      </c>
      <c r="B202" s="12"/>
      <c r="C202" s="12"/>
      <c r="D202" s="12"/>
      <c r="E202" s="12"/>
      <c r="F202" s="12"/>
      <c r="G202" s="12"/>
      <c r="H202" s="12"/>
      <c r="I202" s="11" t="n">
        <f aca="false">COUNTIF(Chamados!$C$2:$C$501,A202)</f>
        <v>0</v>
      </c>
    </row>
    <row r="203" customFormat="false" ht="15" hidden="false" customHeight="false" outlineLevel="0" collapsed="false">
      <c r="A203" s="12" t="s">
        <v>256</v>
      </c>
      <c r="B203" s="12"/>
      <c r="C203" s="12"/>
      <c r="D203" s="12"/>
      <c r="E203" s="12"/>
      <c r="F203" s="12"/>
      <c r="G203" s="12"/>
      <c r="H203" s="12"/>
      <c r="I203" s="11" t="n">
        <f aca="false">COUNTIF(Chamados!$C$2:$C$501,A203)</f>
        <v>0</v>
      </c>
    </row>
    <row r="204" customFormat="false" ht="15" hidden="false" customHeight="false" outlineLevel="0" collapsed="false">
      <c r="A204" s="12" t="s">
        <v>257</v>
      </c>
      <c r="B204" s="12"/>
      <c r="C204" s="12"/>
      <c r="D204" s="12"/>
      <c r="E204" s="12"/>
      <c r="F204" s="12"/>
      <c r="G204" s="12"/>
      <c r="H204" s="12"/>
      <c r="I204" s="11" t="n">
        <f aca="false">COUNTIF(Chamados!$C$2:$C$501,A204)</f>
        <v>0</v>
      </c>
    </row>
    <row r="205" customFormat="false" ht="15" hidden="false" customHeight="false" outlineLevel="0" collapsed="false">
      <c r="A205" s="12" t="s">
        <v>258</v>
      </c>
      <c r="B205" s="12"/>
      <c r="C205" s="12"/>
      <c r="D205" s="12"/>
      <c r="E205" s="12"/>
      <c r="F205" s="12"/>
      <c r="G205" s="12"/>
      <c r="H205" s="12"/>
      <c r="I205" s="11" t="n">
        <f aca="false">COUNTIF(Chamados!$C$2:$C$501,A205)</f>
        <v>0</v>
      </c>
    </row>
    <row r="206" customFormat="false" ht="15" hidden="false" customHeight="false" outlineLevel="0" collapsed="false">
      <c r="A206" s="12" t="s">
        <v>259</v>
      </c>
      <c r="B206" s="12"/>
      <c r="C206" s="12"/>
      <c r="D206" s="12"/>
      <c r="E206" s="12"/>
      <c r="F206" s="12"/>
      <c r="G206" s="12"/>
      <c r="H206" s="12"/>
      <c r="I206" s="11" t="n">
        <f aca="false">COUNTIF(Chamados!$C$2:$C$501,A206)</f>
        <v>0</v>
      </c>
    </row>
    <row r="207" customFormat="false" ht="15" hidden="false" customHeight="false" outlineLevel="0" collapsed="false">
      <c r="A207" s="12" t="s">
        <v>260</v>
      </c>
      <c r="B207" s="12"/>
      <c r="C207" s="12"/>
      <c r="D207" s="12"/>
      <c r="E207" s="12"/>
      <c r="F207" s="12"/>
      <c r="G207" s="12"/>
      <c r="H207" s="12"/>
      <c r="I207" s="11" t="n">
        <f aca="false">COUNTIF(Chamados!$C$2:$C$501,A207)</f>
        <v>0</v>
      </c>
    </row>
    <row r="208" customFormat="false" ht="15" hidden="false" customHeight="false" outlineLevel="0" collapsed="false">
      <c r="A208" s="12" t="s">
        <v>261</v>
      </c>
      <c r="B208" s="12"/>
      <c r="C208" s="12"/>
      <c r="D208" s="12"/>
      <c r="E208" s="12"/>
      <c r="F208" s="12"/>
      <c r="G208" s="12"/>
      <c r="H208" s="12"/>
      <c r="I208" s="11" t="n">
        <f aca="false">COUNTIF(Chamados!$C$2:$C$501,A208)</f>
        <v>0</v>
      </c>
    </row>
    <row r="209" customFormat="false" ht="15" hidden="false" customHeight="false" outlineLevel="0" collapsed="false">
      <c r="A209" s="12" t="s">
        <v>262</v>
      </c>
      <c r="B209" s="12"/>
      <c r="C209" s="12"/>
      <c r="D209" s="12"/>
      <c r="E209" s="12"/>
      <c r="F209" s="12"/>
      <c r="G209" s="12"/>
      <c r="H209" s="12"/>
      <c r="I209" s="11" t="n">
        <f aca="false">COUNTIF(Chamados!$C$2:$C$501,A209)</f>
        <v>0</v>
      </c>
    </row>
    <row r="210" customFormat="false" ht="15" hidden="false" customHeight="false" outlineLevel="0" collapsed="false">
      <c r="A210" s="12" t="s">
        <v>263</v>
      </c>
      <c r="B210" s="12"/>
      <c r="C210" s="12"/>
      <c r="D210" s="12"/>
      <c r="E210" s="12"/>
      <c r="F210" s="12"/>
      <c r="G210" s="12"/>
      <c r="H210" s="12"/>
      <c r="I210" s="11" t="n">
        <f aca="false">COUNTIF(Chamados!$C$2:$C$501,A210)</f>
        <v>0</v>
      </c>
    </row>
    <row r="211" customFormat="false" ht="15" hidden="false" customHeight="false" outlineLevel="0" collapsed="false">
      <c r="A211" s="12" t="s">
        <v>264</v>
      </c>
      <c r="B211" s="12"/>
      <c r="C211" s="12"/>
      <c r="D211" s="12"/>
      <c r="E211" s="12"/>
      <c r="F211" s="12"/>
      <c r="G211" s="12"/>
      <c r="H211" s="12"/>
      <c r="I211" s="11" t="n">
        <f aca="false">COUNTIF(Chamados!$C$2:$C$501,A211)</f>
        <v>0</v>
      </c>
    </row>
    <row r="212" customFormat="false" ht="15" hidden="false" customHeight="false" outlineLevel="0" collapsed="false">
      <c r="A212" s="12" t="s">
        <v>265</v>
      </c>
      <c r="B212" s="12"/>
      <c r="C212" s="12"/>
      <c r="D212" s="12"/>
      <c r="E212" s="12"/>
      <c r="F212" s="12"/>
      <c r="G212" s="12"/>
      <c r="H212" s="12"/>
      <c r="I212" s="11" t="n">
        <f aca="false">COUNTIF(Chamados!$C$2:$C$501,A212)</f>
        <v>0</v>
      </c>
    </row>
    <row r="213" customFormat="false" ht="15" hidden="false" customHeight="false" outlineLevel="0" collapsed="false">
      <c r="A213" s="12" t="s">
        <v>266</v>
      </c>
      <c r="B213" s="12"/>
      <c r="C213" s="12"/>
      <c r="D213" s="12"/>
      <c r="E213" s="12"/>
      <c r="F213" s="12"/>
      <c r="G213" s="12"/>
      <c r="H213" s="12"/>
      <c r="I213" s="11" t="n">
        <f aca="false">COUNTIF(Chamados!$C$2:$C$501,A213)</f>
        <v>0</v>
      </c>
    </row>
    <row r="214" customFormat="false" ht="15" hidden="false" customHeight="false" outlineLevel="0" collapsed="false">
      <c r="A214" s="12" t="s">
        <v>267</v>
      </c>
      <c r="B214" s="12"/>
      <c r="C214" s="12"/>
      <c r="D214" s="12"/>
      <c r="E214" s="12"/>
      <c r="F214" s="12"/>
      <c r="G214" s="12"/>
      <c r="H214" s="12"/>
      <c r="I214" s="11" t="n">
        <f aca="false">COUNTIF(Chamados!$C$2:$C$501,A214)</f>
        <v>0</v>
      </c>
    </row>
    <row r="215" customFormat="false" ht="15" hidden="false" customHeight="false" outlineLevel="0" collapsed="false">
      <c r="A215" s="12" t="s">
        <v>268</v>
      </c>
      <c r="B215" s="12"/>
      <c r="C215" s="12"/>
      <c r="D215" s="12"/>
      <c r="E215" s="12"/>
      <c r="F215" s="12"/>
      <c r="G215" s="12"/>
      <c r="H215" s="12"/>
      <c r="I215" s="11" t="n">
        <f aca="false">COUNTIF(Chamados!$C$2:$C$501,A215)</f>
        <v>0</v>
      </c>
    </row>
    <row r="216" customFormat="false" ht="15" hidden="false" customHeight="false" outlineLevel="0" collapsed="false">
      <c r="A216" s="12" t="s">
        <v>269</v>
      </c>
      <c r="B216" s="12"/>
      <c r="C216" s="12"/>
      <c r="D216" s="12"/>
      <c r="E216" s="12"/>
      <c r="F216" s="12"/>
      <c r="G216" s="12"/>
      <c r="H216" s="12"/>
      <c r="I216" s="11" t="n">
        <f aca="false">COUNTIF(Chamados!$C$2:$C$501,A216)</f>
        <v>0</v>
      </c>
    </row>
    <row r="217" customFormat="false" ht="15" hidden="false" customHeight="false" outlineLevel="0" collapsed="false">
      <c r="A217" s="12" t="s">
        <v>270</v>
      </c>
      <c r="B217" s="12"/>
      <c r="C217" s="12"/>
      <c r="D217" s="12"/>
      <c r="E217" s="12"/>
      <c r="F217" s="12"/>
      <c r="G217" s="12"/>
      <c r="H217" s="12"/>
      <c r="I217" s="11" t="n">
        <f aca="false">COUNTIF(Chamados!$C$2:$C$501,A217)</f>
        <v>0</v>
      </c>
    </row>
    <row r="218" customFormat="false" ht="15" hidden="false" customHeight="false" outlineLevel="0" collapsed="false">
      <c r="A218" s="12" t="s">
        <v>271</v>
      </c>
      <c r="B218" s="12"/>
      <c r="C218" s="12"/>
      <c r="D218" s="12"/>
      <c r="E218" s="12"/>
      <c r="F218" s="12"/>
      <c r="G218" s="12"/>
      <c r="H218" s="12"/>
      <c r="I218" s="11" t="n">
        <f aca="false">COUNTIF(Chamados!$C$2:$C$501,A218)</f>
        <v>0</v>
      </c>
    </row>
  </sheetData>
  <autoFilter ref="A1:I218"/>
  <dataValidations count="1">
    <dataValidation allowBlank="true" errorStyle="stop" operator="between" showDropDown="false" showErrorMessage="false" showInputMessage="false" sqref="C2:C218" type="list">
      <formula1>Listas!$E$2:$E$4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30" hidden="false" customHeight="true" outlineLevel="0" collapsed="false">
      <c r="A1" s="3" t="s">
        <v>272</v>
      </c>
      <c r="B1" s="3" t="s">
        <v>273</v>
      </c>
      <c r="C1" s="3" t="s">
        <v>274</v>
      </c>
      <c r="D1" s="3" t="s">
        <v>275</v>
      </c>
      <c r="E1" s="3" t="s">
        <v>276</v>
      </c>
      <c r="F1" s="3" t="s">
        <v>277</v>
      </c>
      <c r="G1" s="3" t="s">
        <v>278</v>
      </c>
      <c r="H1" s="3" t="s">
        <v>12</v>
      </c>
    </row>
    <row r="2" customFormat="false" ht="15" hidden="false" customHeight="false" outlineLevel="0" collapsed="false">
      <c r="A2" s="10" t="s">
        <v>279</v>
      </c>
      <c r="B2" s="10" t="s">
        <v>280</v>
      </c>
      <c r="C2" s="10" t="s">
        <v>281</v>
      </c>
      <c r="D2" s="10" t="s">
        <v>282</v>
      </c>
      <c r="E2" s="10" t="s">
        <v>48</v>
      </c>
      <c r="F2" s="11" t="str">
        <f aca="false">IF(E2="","",IFERROR(INDEX(Unidades!$B$2:$B$218,MATCH(E2,Unidades!$A$2:$A$218,0)),"Código não encontrado"))</f>
        <v>Exemplo – Hirota Super Centro</v>
      </c>
      <c r="G2" s="10" t="s">
        <v>283</v>
      </c>
      <c r="H2" s="11" t="n">
        <f aca="false">IF(A2="","",COUNTIF(Chamados!$J$2:$J$501,A2))</f>
        <v>1</v>
      </c>
    </row>
    <row r="3" customFormat="false" ht="15" hidden="false" customHeight="false" outlineLevel="0" collapsed="false">
      <c r="A3" s="12"/>
      <c r="B3" s="12"/>
      <c r="C3" s="12"/>
      <c r="D3" s="12"/>
      <c r="E3" s="12"/>
      <c r="F3" s="11" t="str">
        <f aca="false">IF(E3="","",IFERROR(INDEX(Unidades!$B$2:$B$218,MATCH(E3,Unidades!$A$2:$A$218,0)),"Código não encontrado"))</f>
        <v/>
      </c>
      <c r="G3" s="12"/>
      <c r="H3" s="11" t="str">
        <f aca="false">IF(A3="","",COUNTIF(Chamados!$J$2:$J$501,A3))</f>
        <v/>
      </c>
    </row>
    <row r="4" customFormat="false" ht="15" hidden="false" customHeight="false" outlineLevel="0" collapsed="false">
      <c r="A4" s="12"/>
      <c r="B4" s="12"/>
      <c r="C4" s="12"/>
      <c r="D4" s="12"/>
      <c r="E4" s="12"/>
      <c r="F4" s="11" t="str">
        <f aca="false">IF(E4="","",IFERROR(INDEX(Unidades!$B$2:$B$218,MATCH(E4,Unidades!$A$2:$A$218,0)),"Código não encontrado"))</f>
        <v/>
      </c>
      <c r="G4" s="12"/>
      <c r="H4" s="11" t="str">
        <f aca="false">IF(A4="","",COUNTIF(Chamados!$J$2:$J$501,A4))</f>
        <v/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1" t="str">
        <f aca="false">IF(E5="","",IFERROR(INDEX(Unidades!$B$2:$B$218,MATCH(E5,Unidades!$A$2:$A$218,0)),"Código não encontrado"))</f>
        <v/>
      </c>
      <c r="G5" s="12"/>
      <c r="H5" s="11" t="str">
        <f aca="false">IF(A5="","",COUNTIF(Chamados!$J$2:$J$501,A5))</f>
        <v/>
      </c>
    </row>
    <row r="6" customFormat="false" ht="15" hidden="false" customHeight="false" outlineLevel="0" collapsed="false">
      <c r="A6" s="12"/>
      <c r="B6" s="12"/>
      <c r="C6" s="12"/>
      <c r="D6" s="12"/>
      <c r="E6" s="12"/>
      <c r="F6" s="11" t="str">
        <f aca="false">IF(E6="","",IFERROR(INDEX(Unidades!$B$2:$B$218,MATCH(E6,Unidades!$A$2:$A$218,0)),"Código não encontrado"))</f>
        <v/>
      </c>
      <c r="G6" s="12"/>
      <c r="H6" s="11" t="str">
        <f aca="false">IF(A6="","",COUNTIF(Chamados!$J$2:$J$501,A6))</f>
        <v/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1" t="str">
        <f aca="false">IF(E7="","",IFERROR(INDEX(Unidades!$B$2:$B$218,MATCH(E7,Unidades!$A$2:$A$218,0)),"Código não encontrado"))</f>
        <v/>
      </c>
      <c r="G7" s="12"/>
      <c r="H7" s="11" t="str">
        <f aca="false">IF(A7="","",COUNTIF(Chamados!$J$2:$J$501,A7))</f>
        <v/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1" t="str">
        <f aca="false">IF(E8="","",IFERROR(INDEX(Unidades!$B$2:$B$218,MATCH(E8,Unidades!$A$2:$A$218,0)),"Código não encontrado"))</f>
        <v/>
      </c>
      <c r="G8" s="12"/>
      <c r="H8" s="11" t="str">
        <f aca="false">IF(A8="","",COUNTIF(Chamados!$J$2:$J$501,A8))</f>
        <v/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1" t="str">
        <f aca="false">IF(E9="","",IFERROR(INDEX(Unidades!$B$2:$B$218,MATCH(E9,Unidades!$A$2:$A$218,0)),"Código não encontrado"))</f>
        <v/>
      </c>
      <c r="G9" s="12"/>
      <c r="H9" s="11" t="str">
        <f aca="false">IF(A9="","",COUNTIF(Chamados!$J$2:$J$501,A9))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1" t="str">
        <f aca="false">IF(E10="","",IFERROR(INDEX(Unidades!$B$2:$B$218,MATCH(E10,Unidades!$A$2:$A$218,0)),"Código não encontrado"))</f>
        <v/>
      </c>
      <c r="G10" s="12"/>
      <c r="H10" s="11" t="str">
        <f aca="false">IF(A10="","",COUNTIF(Chamados!$J$2:$J$501,A10))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1" t="str">
        <f aca="false">IF(E11="","",IFERROR(INDEX(Unidades!$B$2:$B$218,MATCH(E11,Unidades!$A$2:$A$218,0)),"Código não encontrado"))</f>
        <v/>
      </c>
      <c r="G11" s="12"/>
      <c r="H11" s="11" t="str">
        <f aca="false">IF(A11="","",COUNTIF(Chamados!$J$2:$J$501,A11))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1" t="str">
        <f aca="false">IF(E12="","",IFERROR(INDEX(Unidades!$B$2:$B$218,MATCH(E12,Unidades!$A$2:$A$218,0)),"Código não encontrado"))</f>
        <v/>
      </c>
      <c r="G12" s="12"/>
      <c r="H12" s="11" t="str">
        <f aca="false">IF(A12="","",COUNTIF(Chamados!$J$2:$J$501,A12))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1" t="str">
        <f aca="false">IF(E13="","",IFERROR(INDEX(Unidades!$B$2:$B$218,MATCH(E13,Unidades!$A$2:$A$218,0)),"Código não encontrado"))</f>
        <v/>
      </c>
      <c r="G13" s="12"/>
      <c r="H13" s="11" t="str">
        <f aca="false">IF(A13="","",COUNTIF(Chamados!$J$2:$J$501,A13))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1" t="str">
        <f aca="false">IF(E14="","",IFERROR(INDEX(Unidades!$B$2:$B$218,MATCH(E14,Unidades!$A$2:$A$218,0)),"Código não encontrado"))</f>
        <v/>
      </c>
      <c r="G14" s="12"/>
      <c r="H14" s="11" t="str">
        <f aca="false">IF(A14="","",COUNTIF(Chamados!$J$2:$J$501,A14))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1" t="str">
        <f aca="false">IF(E15="","",IFERROR(INDEX(Unidades!$B$2:$B$218,MATCH(E15,Unidades!$A$2:$A$218,0)),"Código não encontrado"))</f>
        <v/>
      </c>
      <c r="G15" s="12"/>
      <c r="H15" s="11" t="str">
        <f aca="false">IF(A15="","",COUNTIF(Chamados!$J$2:$J$501,A15))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1" t="str">
        <f aca="false">IF(E16="","",IFERROR(INDEX(Unidades!$B$2:$B$218,MATCH(E16,Unidades!$A$2:$A$218,0)),"Código não encontrado"))</f>
        <v/>
      </c>
      <c r="G16" s="12"/>
      <c r="H16" s="11" t="str">
        <f aca="false">IF(A16="","",COUNTIF(Chamados!$J$2:$J$501,A16))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1" t="str">
        <f aca="false">IF(E17="","",IFERROR(INDEX(Unidades!$B$2:$B$218,MATCH(E17,Unidades!$A$2:$A$218,0)),"Código não encontrado"))</f>
        <v/>
      </c>
      <c r="G17" s="12"/>
      <c r="H17" s="11" t="str">
        <f aca="false">IF(A17="","",COUNTIF(Chamados!$J$2:$J$501,A17))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1" t="str">
        <f aca="false">IF(E18="","",IFERROR(INDEX(Unidades!$B$2:$B$218,MATCH(E18,Unidades!$A$2:$A$218,0)),"Código não encontrado"))</f>
        <v/>
      </c>
      <c r="G18" s="12"/>
      <c r="H18" s="11" t="str">
        <f aca="false">IF(A18="","",COUNTIF(Chamados!$J$2:$J$501,A18))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1" t="str">
        <f aca="false">IF(E19="","",IFERROR(INDEX(Unidades!$B$2:$B$218,MATCH(E19,Unidades!$A$2:$A$218,0)),"Código não encontrado"))</f>
        <v/>
      </c>
      <c r="G19" s="12"/>
      <c r="H19" s="11" t="str">
        <f aca="false">IF(A19="","",COUNTIF(Chamados!$J$2:$J$501,A19))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1" t="str">
        <f aca="false">IF(E20="","",IFERROR(INDEX(Unidades!$B$2:$B$218,MATCH(E20,Unidades!$A$2:$A$218,0)),"Código não encontrado"))</f>
        <v/>
      </c>
      <c r="G20" s="12"/>
      <c r="H20" s="11" t="str">
        <f aca="false">IF(A20="","",COUNTIF(Chamados!$J$2:$J$501,A20))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1" t="str">
        <f aca="false">IF(E21="","",IFERROR(INDEX(Unidades!$B$2:$B$218,MATCH(E21,Unidades!$A$2:$A$218,0)),"Código não encontrado"))</f>
        <v/>
      </c>
      <c r="G21" s="12"/>
      <c r="H21" s="11" t="str">
        <f aca="false">IF(A21="","",COUNTIF(Chamados!$J$2:$J$501,A21))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1" t="str">
        <f aca="false">IF(E22="","",IFERROR(INDEX(Unidades!$B$2:$B$218,MATCH(E22,Unidades!$A$2:$A$218,0)),"Código não encontrado"))</f>
        <v/>
      </c>
      <c r="G22" s="12"/>
      <c r="H22" s="11" t="str">
        <f aca="false">IF(A22="","",COUNTIF(Chamados!$J$2:$J$501,A22))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1" t="str">
        <f aca="false">IF(E23="","",IFERROR(INDEX(Unidades!$B$2:$B$218,MATCH(E23,Unidades!$A$2:$A$218,0)),"Código não encontrado"))</f>
        <v/>
      </c>
      <c r="G23" s="12"/>
      <c r="H23" s="11" t="str">
        <f aca="false">IF(A23="","",COUNTIF(Chamados!$J$2:$J$501,A23))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1" t="str">
        <f aca="false">IF(E24="","",IFERROR(INDEX(Unidades!$B$2:$B$218,MATCH(E24,Unidades!$A$2:$A$218,0)),"Código não encontrado"))</f>
        <v/>
      </c>
      <c r="G24" s="12"/>
      <c r="H24" s="11" t="str">
        <f aca="false">IF(A24="","",COUNTIF(Chamados!$J$2:$J$501,A24))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1" t="str">
        <f aca="false">IF(E25="","",IFERROR(INDEX(Unidades!$B$2:$B$218,MATCH(E25,Unidades!$A$2:$A$218,0)),"Código não encontrado"))</f>
        <v/>
      </c>
      <c r="G25" s="12"/>
      <c r="H25" s="11" t="str">
        <f aca="false">IF(A25="","",COUNTIF(Chamados!$J$2:$J$501,A25))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1" t="str">
        <f aca="false">IF(E26="","",IFERROR(INDEX(Unidades!$B$2:$B$218,MATCH(E26,Unidades!$A$2:$A$218,0)),"Código não encontrado"))</f>
        <v/>
      </c>
      <c r="G26" s="12"/>
      <c r="H26" s="11" t="str">
        <f aca="false">IF(A26="","",COUNTIF(Chamados!$J$2:$J$501,A26))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1" t="str">
        <f aca="false">IF(E27="","",IFERROR(INDEX(Unidades!$B$2:$B$218,MATCH(E27,Unidades!$A$2:$A$218,0)),"Código não encontrado"))</f>
        <v/>
      </c>
      <c r="G27" s="12"/>
      <c r="H27" s="11" t="str">
        <f aca="false">IF(A27="","",COUNTIF(Chamados!$J$2:$J$501,A27))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1" t="str">
        <f aca="false">IF(E28="","",IFERROR(INDEX(Unidades!$B$2:$B$218,MATCH(E28,Unidades!$A$2:$A$218,0)),"Código não encontrado"))</f>
        <v/>
      </c>
      <c r="G28" s="12"/>
      <c r="H28" s="11" t="str">
        <f aca="false">IF(A28="","",COUNTIF(Chamados!$J$2:$J$501,A28))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1" t="str">
        <f aca="false">IF(E29="","",IFERROR(INDEX(Unidades!$B$2:$B$218,MATCH(E29,Unidades!$A$2:$A$218,0)),"Código não encontrado"))</f>
        <v/>
      </c>
      <c r="G29" s="12"/>
      <c r="H29" s="11" t="str">
        <f aca="false">IF(A29="","",COUNTIF(Chamados!$J$2:$J$501,A29))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1" t="str">
        <f aca="false">IF(E30="","",IFERROR(INDEX(Unidades!$B$2:$B$218,MATCH(E30,Unidades!$A$2:$A$218,0)),"Código não encontrado"))</f>
        <v/>
      </c>
      <c r="G30" s="12"/>
      <c r="H30" s="11" t="str">
        <f aca="false">IF(A30="","",COUNTIF(Chamados!$J$2:$J$501,A30))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1" t="str">
        <f aca="false">IF(E31="","",IFERROR(INDEX(Unidades!$B$2:$B$218,MATCH(E31,Unidades!$A$2:$A$218,0)),"Código não encontrado"))</f>
        <v/>
      </c>
      <c r="G31" s="12"/>
      <c r="H31" s="11" t="str">
        <f aca="false">IF(A31="","",COUNTIF(Chamados!$J$2:$J$501,A31))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1" t="str">
        <f aca="false">IF(E32="","",IFERROR(INDEX(Unidades!$B$2:$B$218,MATCH(E32,Unidades!$A$2:$A$218,0)),"Código não encontrado"))</f>
        <v/>
      </c>
      <c r="G32" s="12"/>
      <c r="H32" s="11" t="str">
        <f aca="false">IF(A32="","",COUNTIF(Chamados!$J$2:$J$501,A32))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1" t="str">
        <f aca="false">IF(E33="","",IFERROR(INDEX(Unidades!$B$2:$B$218,MATCH(E33,Unidades!$A$2:$A$218,0)),"Código não encontrado"))</f>
        <v/>
      </c>
      <c r="G33" s="12"/>
      <c r="H33" s="11" t="str">
        <f aca="false">IF(A33="","",COUNTIF(Chamados!$J$2:$J$501,A33))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1" t="str">
        <f aca="false">IF(E34="","",IFERROR(INDEX(Unidades!$B$2:$B$218,MATCH(E34,Unidades!$A$2:$A$218,0)),"Código não encontrado"))</f>
        <v/>
      </c>
      <c r="G34" s="12"/>
      <c r="H34" s="11" t="str">
        <f aca="false">IF(A34="","",COUNTIF(Chamados!$J$2:$J$501,A34))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1" t="str">
        <f aca="false">IF(E35="","",IFERROR(INDEX(Unidades!$B$2:$B$218,MATCH(E35,Unidades!$A$2:$A$218,0)),"Código não encontrado"))</f>
        <v/>
      </c>
      <c r="G35" s="12"/>
      <c r="H35" s="11" t="str">
        <f aca="false">IF(A35="","",COUNTIF(Chamados!$J$2:$J$501,A35))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1" t="str">
        <f aca="false">IF(E36="","",IFERROR(INDEX(Unidades!$B$2:$B$218,MATCH(E36,Unidades!$A$2:$A$218,0)),"Código não encontrado"))</f>
        <v/>
      </c>
      <c r="G36" s="12"/>
      <c r="H36" s="11" t="str">
        <f aca="false">IF(A36="","",COUNTIF(Chamados!$J$2:$J$501,A36))</f>
        <v/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1" t="str">
        <f aca="false">IF(E37="","",IFERROR(INDEX(Unidades!$B$2:$B$218,MATCH(E37,Unidades!$A$2:$A$218,0)),"Código não encontrado"))</f>
        <v/>
      </c>
      <c r="G37" s="12"/>
      <c r="H37" s="11" t="str">
        <f aca="false">IF(A37="","",COUNTIF(Chamados!$J$2:$J$501,A37))</f>
        <v/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1" t="str">
        <f aca="false">IF(E38="","",IFERROR(INDEX(Unidades!$B$2:$B$218,MATCH(E38,Unidades!$A$2:$A$218,0)),"Código não encontrado"))</f>
        <v/>
      </c>
      <c r="G38" s="12"/>
      <c r="H38" s="11" t="str">
        <f aca="false">IF(A38="","",COUNTIF(Chamados!$J$2:$J$501,A38))</f>
        <v/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1" t="str">
        <f aca="false">IF(E39="","",IFERROR(INDEX(Unidades!$B$2:$B$218,MATCH(E39,Unidades!$A$2:$A$218,0)),"Código não encontrado"))</f>
        <v/>
      </c>
      <c r="G39" s="12"/>
      <c r="H39" s="11" t="str">
        <f aca="false">IF(A39="","",COUNTIF(Chamados!$J$2:$J$501,A39))</f>
        <v/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1" t="str">
        <f aca="false">IF(E40="","",IFERROR(INDEX(Unidades!$B$2:$B$218,MATCH(E40,Unidades!$A$2:$A$218,0)),"Código não encontrado"))</f>
        <v/>
      </c>
      <c r="G40" s="12"/>
      <c r="H40" s="11" t="str">
        <f aca="false">IF(A40="","",COUNTIF(Chamados!$J$2:$J$501,A40))</f>
        <v/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1" t="str">
        <f aca="false">IF(E41="","",IFERROR(INDEX(Unidades!$B$2:$B$218,MATCH(E41,Unidades!$A$2:$A$218,0)),"Código não encontrado"))</f>
        <v/>
      </c>
      <c r="G41" s="12"/>
      <c r="H41" s="11" t="str">
        <f aca="false">IF(A41="","",COUNTIF(Chamados!$J$2:$J$501,A41))</f>
        <v/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1" t="str">
        <f aca="false">IF(E42="","",IFERROR(INDEX(Unidades!$B$2:$B$218,MATCH(E42,Unidades!$A$2:$A$218,0)),"Código não encontrado"))</f>
        <v/>
      </c>
      <c r="G42" s="12"/>
      <c r="H42" s="11" t="str">
        <f aca="false">IF(A42="","",COUNTIF(Chamados!$J$2:$J$501,A42))</f>
        <v/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1" t="str">
        <f aca="false">IF(E43="","",IFERROR(INDEX(Unidades!$B$2:$B$218,MATCH(E43,Unidades!$A$2:$A$218,0)),"Código não encontrado"))</f>
        <v/>
      </c>
      <c r="G43" s="12"/>
      <c r="H43" s="11" t="str">
        <f aca="false">IF(A43="","",COUNTIF(Chamados!$J$2:$J$501,A43))</f>
        <v/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1" t="str">
        <f aca="false">IF(E44="","",IFERROR(INDEX(Unidades!$B$2:$B$218,MATCH(E44,Unidades!$A$2:$A$218,0)),"Código não encontrado"))</f>
        <v/>
      </c>
      <c r="G44" s="12"/>
      <c r="H44" s="11" t="str">
        <f aca="false">IF(A44="","",COUNTIF(Chamados!$J$2:$J$501,A44))</f>
        <v/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1" t="str">
        <f aca="false">IF(E45="","",IFERROR(INDEX(Unidades!$B$2:$B$218,MATCH(E45,Unidades!$A$2:$A$218,0)),"Código não encontrado"))</f>
        <v/>
      </c>
      <c r="G45" s="12"/>
      <c r="H45" s="11" t="str">
        <f aca="false">IF(A45="","",COUNTIF(Chamados!$J$2:$J$501,A45))</f>
        <v/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1" t="str">
        <f aca="false">IF(E46="","",IFERROR(INDEX(Unidades!$B$2:$B$218,MATCH(E46,Unidades!$A$2:$A$218,0)),"Código não encontrado"))</f>
        <v/>
      </c>
      <c r="G46" s="12"/>
      <c r="H46" s="11" t="str">
        <f aca="false">IF(A46="","",COUNTIF(Chamados!$J$2:$J$501,A46))</f>
        <v/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1" t="str">
        <f aca="false">IF(E47="","",IFERROR(INDEX(Unidades!$B$2:$B$218,MATCH(E47,Unidades!$A$2:$A$218,0)),"Código não encontrado"))</f>
        <v/>
      </c>
      <c r="G47" s="12"/>
      <c r="H47" s="11" t="str">
        <f aca="false">IF(A47="","",COUNTIF(Chamados!$J$2:$J$501,A47))</f>
        <v/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1" t="str">
        <f aca="false">IF(E48="","",IFERROR(INDEX(Unidades!$B$2:$B$218,MATCH(E48,Unidades!$A$2:$A$218,0)),"Código não encontrado"))</f>
        <v/>
      </c>
      <c r="G48" s="12"/>
      <c r="H48" s="11" t="str">
        <f aca="false">IF(A48="","",COUNTIF(Chamados!$J$2:$J$501,A48))</f>
        <v/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1" t="str">
        <f aca="false">IF(E49="","",IFERROR(INDEX(Unidades!$B$2:$B$218,MATCH(E49,Unidades!$A$2:$A$218,0)),"Código não encontrado"))</f>
        <v/>
      </c>
      <c r="G49" s="12"/>
      <c r="H49" s="11" t="str">
        <f aca="false">IF(A49="","",COUNTIF(Chamados!$J$2:$J$501,A49))</f>
        <v/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1" t="str">
        <f aca="false">IF(E50="","",IFERROR(INDEX(Unidades!$B$2:$B$218,MATCH(E50,Unidades!$A$2:$A$218,0)),"Código não encontrado"))</f>
        <v/>
      </c>
      <c r="G50" s="12"/>
      <c r="H50" s="11" t="str">
        <f aca="false">IF(A50="","",COUNTIF(Chamados!$J$2:$J$501,A50))</f>
        <v/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1" t="str">
        <f aca="false">IF(E51="","",IFERROR(INDEX(Unidades!$B$2:$B$218,MATCH(E51,Unidades!$A$2:$A$218,0)),"Código não encontrado"))</f>
        <v/>
      </c>
      <c r="G51" s="12"/>
      <c r="H51" s="11" t="str">
        <f aca="false">IF(A51="","",COUNTIF(Chamados!$J$2:$J$501,A51))</f>
        <v/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1" t="str">
        <f aca="false">IF(E52="","",IFERROR(INDEX(Unidades!$B$2:$B$218,MATCH(E52,Unidades!$A$2:$A$218,0)),"Código não encontrado"))</f>
        <v/>
      </c>
      <c r="G52" s="12"/>
      <c r="H52" s="11" t="str">
        <f aca="false">IF(A52="","",COUNTIF(Chamados!$J$2:$J$501,A52))</f>
        <v/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1" t="str">
        <f aca="false">IF(E53="","",IFERROR(INDEX(Unidades!$B$2:$B$218,MATCH(E53,Unidades!$A$2:$A$218,0)),"Código não encontrado"))</f>
        <v/>
      </c>
      <c r="G53" s="12"/>
      <c r="H53" s="11" t="str">
        <f aca="false">IF(A53="","",COUNTIF(Chamados!$J$2:$J$501,A53))</f>
        <v/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1" t="str">
        <f aca="false">IF(E54="","",IFERROR(INDEX(Unidades!$B$2:$B$218,MATCH(E54,Unidades!$A$2:$A$218,0)),"Código não encontrado"))</f>
        <v/>
      </c>
      <c r="G54" s="12"/>
      <c r="H54" s="11" t="str">
        <f aca="false">IF(A54="","",COUNTIF(Chamados!$J$2:$J$501,A54))</f>
        <v/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1" t="str">
        <f aca="false">IF(E55="","",IFERROR(INDEX(Unidades!$B$2:$B$218,MATCH(E55,Unidades!$A$2:$A$218,0)),"Código não encontrado"))</f>
        <v/>
      </c>
      <c r="G55" s="12"/>
      <c r="H55" s="11" t="str">
        <f aca="false">IF(A55="","",COUNTIF(Chamados!$J$2:$J$501,A55))</f>
        <v/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1" t="str">
        <f aca="false">IF(E56="","",IFERROR(INDEX(Unidades!$B$2:$B$218,MATCH(E56,Unidades!$A$2:$A$218,0)),"Código não encontrado"))</f>
        <v/>
      </c>
      <c r="G56" s="12"/>
      <c r="H56" s="11" t="str">
        <f aca="false">IF(A56="","",COUNTIF(Chamados!$J$2:$J$501,A56))</f>
        <v/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1" t="str">
        <f aca="false">IF(E57="","",IFERROR(INDEX(Unidades!$B$2:$B$218,MATCH(E57,Unidades!$A$2:$A$218,0)),"Código não encontrado"))</f>
        <v/>
      </c>
      <c r="G57" s="12"/>
      <c r="H57" s="11" t="str">
        <f aca="false">IF(A57="","",COUNTIF(Chamados!$J$2:$J$501,A57))</f>
        <v/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1" t="str">
        <f aca="false">IF(E58="","",IFERROR(INDEX(Unidades!$B$2:$B$218,MATCH(E58,Unidades!$A$2:$A$218,0)),"Código não encontrado"))</f>
        <v/>
      </c>
      <c r="G58" s="12"/>
      <c r="H58" s="11" t="str">
        <f aca="false">IF(A58="","",COUNTIF(Chamados!$J$2:$J$501,A58))</f>
        <v/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1" t="str">
        <f aca="false">IF(E59="","",IFERROR(INDEX(Unidades!$B$2:$B$218,MATCH(E59,Unidades!$A$2:$A$218,0)),"Código não encontrado"))</f>
        <v/>
      </c>
      <c r="G59" s="12"/>
      <c r="H59" s="11" t="str">
        <f aca="false">IF(A59="","",COUNTIF(Chamados!$J$2:$J$501,A59))</f>
        <v/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1" t="str">
        <f aca="false">IF(E60="","",IFERROR(INDEX(Unidades!$B$2:$B$218,MATCH(E60,Unidades!$A$2:$A$218,0)),"Código não encontrado"))</f>
        <v/>
      </c>
      <c r="G60" s="12"/>
      <c r="H60" s="11" t="str">
        <f aca="false">IF(A60="","",COUNTIF(Chamados!$J$2:$J$501,A60))</f>
        <v/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1" t="str">
        <f aca="false">IF(E61="","",IFERROR(INDEX(Unidades!$B$2:$B$218,MATCH(E61,Unidades!$A$2:$A$218,0)),"Código não encontrado"))</f>
        <v/>
      </c>
      <c r="G61" s="12"/>
      <c r="H61" s="11" t="str">
        <f aca="false">IF(A61="","",COUNTIF(Chamados!$J$2:$J$501,A61))</f>
        <v/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1" t="str">
        <f aca="false">IF(E62="","",IFERROR(INDEX(Unidades!$B$2:$B$218,MATCH(E62,Unidades!$A$2:$A$218,0)),"Código não encontrado"))</f>
        <v/>
      </c>
      <c r="G62" s="12"/>
      <c r="H62" s="11" t="str">
        <f aca="false">IF(A62="","",COUNTIF(Chamados!$J$2:$J$501,A62))</f>
        <v/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1" t="str">
        <f aca="false">IF(E63="","",IFERROR(INDEX(Unidades!$B$2:$B$218,MATCH(E63,Unidades!$A$2:$A$218,0)),"Código não encontrado"))</f>
        <v/>
      </c>
      <c r="G63" s="12"/>
      <c r="H63" s="11" t="str">
        <f aca="false">IF(A63="","",COUNTIF(Chamados!$J$2:$J$501,A63))</f>
        <v/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1" t="str">
        <f aca="false">IF(E64="","",IFERROR(INDEX(Unidades!$B$2:$B$218,MATCH(E64,Unidades!$A$2:$A$218,0)),"Código não encontrado"))</f>
        <v/>
      </c>
      <c r="G64" s="12"/>
      <c r="H64" s="11" t="str">
        <f aca="false">IF(A64="","",COUNTIF(Chamados!$J$2:$J$501,A64))</f>
        <v/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1" t="str">
        <f aca="false">IF(E65="","",IFERROR(INDEX(Unidades!$B$2:$B$218,MATCH(E65,Unidades!$A$2:$A$218,0)),"Código não encontrado"))</f>
        <v/>
      </c>
      <c r="G65" s="12"/>
      <c r="H65" s="11" t="str">
        <f aca="false">IF(A65="","",COUNTIF(Chamados!$J$2:$J$501,A65))</f>
        <v/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1" t="str">
        <f aca="false">IF(E66="","",IFERROR(INDEX(Unidades!$B$2:$B$218,MATCH(E66,Unidades!$A$2:$A$218,0)),"Código não encontrado"))</f>
        <v/>
      </c>
      <c r="G66" s="12"/>
      <c r="H66" s="11" t="str">
        <f aca="false">IF(A66="","",COUNTIF(Chamados!$J$2:$J$501,A66))</f>
        <v/>
      </c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1" t="str">
        <f aca="false">IF(E67="","",IFERROR(INDEX(Unidades!$B$2:$B$218,MATCH(E67,Unidades!$A$2:$A$218,0)),"Código não encontrado"))</f>
        <v/>
      </c>
      <c r="G67" s="12"/>
      <c r="H67" s="11" t="str">
        <f aca="false">IF(A67="","",COUNTIF(Chamados!$J$2:$J$501,A67))</f>
        <v/>
      </c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1" t="str">
        <f aca="false">IF(E68="","",IFERROR(INDEX(Unidades!$B$2:$B$218,MATCH(E68,Unidades!$A$2:$A$218,0)),"Código não encontrado"))</f>
        <v/>
      </c>
      <c r="G68" s="12"/>
      <c r="H68" s="11" t="str">
        <f aca="false">IF(A68="","",COUNTIF(Chamados!$J$2:$J$501,A68))</f>
        <v/>
      </c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1" t="str">
        <f aca="false">IF(E69="","",IFERROR(INDEX(Unidades!$B$2:$B$218,MATCH(E69,Unidades!$A$2:$A$218,0)),"Código não encontrado"))</f>
        <v/>
      </c>
      <c r="G69" s="12"/>
      <c r="H69" s="11" t="str">
        <f aca="false">IF(A69="","",COUNTIF(Chamados!$J$2:$J$501,A69))</f>
        <v/>
      </c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1" t="str">
        <f aca="false">IF(E70="","",IFERROR(INDEX(Unidades!$B$2:$B$218,MATCH(E70,Unidades!$A$2:$A$218,0)),"Código não encontrado"))</f>
        <v/>
      </c>
      <c r="G70" s="12"/>
      <c r="H70" s="11" t="str">
        <f aca="false">IF(A70="","",COUNTIF(Chamados!$J$2:$J$501,A70))</f>
        <v/>
      </c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1" t="str">
        <f aca="false">IF(E71="","",IFERROR(INDEX(Unidades!$B$2:$B$218,MATCH(E71,Unidades!$A$2:$A$218,0)),"Código não encontrado"))</f>
        <v/>
      </c>
      <c r="G71" s="12"/>
      <c r="H71" s="11" t="str">
        <f aca="false">IF(A71="","",COUNTIF(Chamados!$J$2:$J$501,A71))</f>
        <v/>
      </c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1" t="str">
        <f aca="false">IF(E72="","",IFERROR(INDEX(Unidades!$B$2:$B$218,MATCH(E72,Unidades!$A$2:$A$218,0)),"Código não encontrado"))</f>
        <v/>
      </c>
      <c r="G72" s="12"/>
      <c r="H72" s="11" t="str">
        <f aca="false">IF(A72="","",COUNTIF(Chamados!$J$2:$J$501,A72))</f>
        <v/>
      </c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1" t="str">
        <f aca="false">IF(E73="","",IFERROR(INDEX(Unidades!$B$2:$B$218,MATCH(E73,Unidades!$A$2:$A$218,0)),"Código não encontrado"))</f>
        <v/>
      </c>
      <c r="G73" s="12"/>
      <c r="H73" s="11" t="str">
        <f aca="false">IF(A73="","",COUNTIF(Chamados!$J$2:$J$501,A73))</f>
        <v/>
      </c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1" t="str">
        <f aca="false">IF(E74="","",IFERROR(INDEX(Unidades!$B$2:$B$218,MATCH(E74,Unidades!$A$2:$A$218,0)),"Código não encontrado"))</f>
        <v/>
      </c>
      <c r="G74" s="12"/>
      <c r="H74" s="11" t="str">
        <f aca="false">IF(A74="","",COUNTIF(Chamados!$J$2:$J$501,A74))</f>
        <v/>
      </c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1" t="str">
        <f aca="false">IF(E75="","",IFERROR(INDEX(Unidades!$B$2:$B$218,MATCH(E75,Unidades!$A$2:$A$218,0)),"Código não encontrado"))</f>
        <v/>
      </c>
      <c r="G75" s="12"/>
      <c r="H75" s="11" t="str">
        <f aca="false">IF(A75="","",COUNTIF(Chamados!$J$2:$J$501,A75))</f>
        <v/>
      </c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1" t="str">
        <f aca="false">IF(E76="","",IFERROR(INDEX(Unidades!$B$2:$B$218,MATCH(E76,Unidades!$A$2:$A$218,0)),"Código não encontrado"))</f>
        <v/>
      </c>
      <c r="G76" s="12"/>
      <c r="H76" s="11" t="str">
        <f aca="false">IF(A76="","",COUNTIF(Chamados!$J$2:$J$501,A76))</f>
        <v/>
      </c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1" t="str">
        <f aca="false">IF(E77="","",IFERROR(INDEX(Unidades!$B$2:$B$218,MATCH(E77,Unidades!$A$2:$A$218,0)),"Código não encontrado"))</f>
        <v/>
      </c>
      <c r="G77" s="12"/>
      <c r="H77" s="11" t="str">
        <f aca="false">IF(A77="","",COUNTIF(Chamados!$J$2:$J$501,A77))</f>
        <v/>
      </c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1" t="str">
        <f aca="false">IF(E78="","",IFERROR(INDEX(Unidades!$B$2:$B$218,MATCH(E78,Unidades!$A$2:$A$218,0)),"Código não encontrado"))</f>
        <v/>
      </c>
      <c r="G78" s="12"/>
      <c r="H78" s="11" t="str">
        <f aca="false">IF(A78="","",COUNTIF(Chamados!$J$2:$J$501,A78))</f>
        <v/>
      </c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1" t="str">
        <f aca="false">IF(E79="","",IFERROR(INDEX(Unidades!$B$2:$B$218,MATCH(E79,Unidades!$A$2:$A$218,0)),"Código não encontrado"))</f>
        <v/>
      </c>
      <c r="G79" s="12"/>
      <c r="H79" s="11" t="str">
        <f aca="false">IF(A79="","",COUNTIF(Chamados!$J$2:$J$501,A79))</f>
        <v/>
      </c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1" t="str">
        <f aca="false">IF(E80="","",IFERROR(INDEX(Unidades!$B$2:$B$218,MATCH(E80,Unidades!$A$2:$A$218,0)),"Código não encontrado"))</f>
        <v/>
      </c>
      <c r="G80" s="12"/>
      <c r="H80" s="11" t="str">
        <f aca="false">IF(A80="","",COUNTIF(Chamados!$J$2:$J$501,A80))</f>
        <v/>
      </c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1" t="str">
        <f aca="false">IF(E81="","",IFERROR(INDEX(Unidades!$B$2:$B$218,MATCH(E81,Unidades!$A$2:$A$218,0)),"Código não encontrado"))</f>
        <v/>
      </c>
      <c r="G81" s="12"/>
      <c r="H81" s="11" t="str">
        <f aca="false">IF(A81="","",COUNTIF(Chamados!$J$2:$J$501,A81))</f>
        <v/>
      </c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1" t="str">
        <f aca="false">IF(E82="","",IFERROR(INDEX(Unidades!$B$2:$B$218,MATCH(E82,Unidades!$A$2:$A$218,0)),"Código não encontrado"))</f>
        <v/>
      </c>
      <c r="G82" s="12"/>
      <c r="H82" s="11" t="str">
        <f aca="false">IF(A82="","",COUNTIF(Chamados!$J$2:$J$501,A82))</f>
        <v/>
      </c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1" t="str">
        <f aca="false">IF(E83="","",IFERROR(INDEX(Unidades!$B$2:$B$218,MATCH(E83,Unidades!$A$2:$A$218,0)),"Código não encontrado"))</f>
        <v/>
      </c>
      <c r="G83" s="12"/>
      <c r="H83" s="11" t="str">
        <f aca="false">IF(A83="","",COUNTIF(Chamados!$J$2:$J$501,A83))</f>
        <v/>
      </c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1" t="str">
        <f aca="false">IF(E84="","",IFERROR(INDEX(Unidades!$B$2:$B$218,MATCH(E84,Unidades!$A$2:$A$218,0)),"Código não encontrado"))</f>
        <v/>
      </c>
      <c r="G84" s="12"/>
      <c r="H84" s="11" t="str">
        <f aca="false">IF(A84="","",COUNTIF(Chamados!$J$2:$J$501,A84))</f>
        <v/>
      </c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1" t="str">
        <f aca="false">IF(E85="","",IFERROR(INDEX(Unidades!$B$2:$B$218,MATCH(E85,Unidades!$A$2:$A$218,0)),"Código não encontrado"))</f>
        <v/>
      </c>
      <c r="G85" s="12"/>
      <c r="H85" s="11" t="str">
        <f aca="false">IF(A85="","",COUNTIF(Chamados!$J$2:$J$501,A85))</f>
        <v/>
      </c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1" t="str">
        <f aca="false">IF(E86="","",IFERROR(INDEX(Unidades!$B$2:$B$218,MATCH(E86,Unidades!$A$2:$A$218,0)),"Código não encontrado"))</f>
        <v/>
      </c>
      <c r="G86" s="12"/>
      <c r="H86" s="11" t="str">
        <f aca="false">IF(A86="","",COUNTIF(Chamados!$J$2:$J$501,A86))</f>
        <v/>
      </c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1" t="str">
        <f aca="false">IF(E87="","",IFERROR(INDEX(Unidades!$B$2:$B$218,MATCH(E87,Unidades!$A$2:$A$218,0)),"Código não encontrado"))</f>
        <v/>
      </c>
      <c r="G87" s="12"/>
      <c r="H87" s="11" t="str">
        <f aca="false">IF(A87="","",COUNTIF(Chamados!$J$2:$J$501,A87))</f>
        <v/>
      </c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1" t="str">
        <f aca="false">IF(E88="","",IFERROR(INDEX(Unidades!$B$2:$B$218,MATCH(E88,Unidades!$A$2:$A$218,0)),"Código não encontrado"))</f>
        <v/>
      </c>
      <c r="G88" s="12"/>
      <c r="H88" s="11" t="str">
        <f aca="false">IF(A88="","",COUNTIF(Chamados!$J$2:$J$501,A88))</f>
        <v/>
      </c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1" t="str">
        <f aca="false">IF(E89="","",IFERROR(INDEX(Unidades!$B$2:$B$218,MATCH(E89,Unidades!$A$2:$A$218,0)),"Código não encontrado"))</f>
        <v/>
      </c>
      <c r="G89" s="12"/>
      <c r="H89" s="11" t="str">
        <f aca="false">IF(A89="","",COUNTIF(Chamados!$J$2:$J$501,A89))</f>
        <v/>
      </c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1" t="str">
        <f aca="false">IF(E90="","",IFERROR(INDEX(Unidades!$B$2:$B$218,MATCH(E90,Unidades!$A$2:$A$218,0)),"Código não encontrado"))</f>
        <v/>
      </c>
      <c r="G90" s="12"/>
      <c r="H90" s="11" t="str">
        <f aca="false">IF(A90="","",COUNTIF(Chamados!$J$2:$J$501,A90))</f>
        <v/>
      </c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1" t="str">
        <f aca="false">IF(E91="","",IFERROR(INDEX(Unidades!$B$2:$B$218,MATCH(E91,Unidades!$A$2:$A$218,0)),"Código não encontrado"))</f>
        <v/>
      </c>
      <c r="G91" s="12"/>
      <c r="H91" s="11" t="str">
        <f aca="false">IF(A91="","",COUNTIF(Chamados!$J$2:$J$501,A91))</f>
        <v/>
      </c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1" t="str">
        <f aca="false">IF(E92="","",IFERROR(INDEX(Unidades!$B$2:$B$218,MATCH(E92,Unidades!$A$2:$A$218,0)),"Código não encontrado"))</f>
        <v/>
      </c>
      <c r="G92" s="12"/>
      <c r="H92" s="11" t="str">
        <f aca="false">IF(A92="","",COUNTIF(Chamados!$J$2:$J$501,A92))</f>
        <v/>
      </c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1" t="str">
        <f aca="false">IF(E93="","",IFERROR(INDEX(Unidades!$B$2:$B$218,MATCH(E93,Unidades!$A$2:$A$218,0)),"Código não encontrado"))</f>
        <v/>
      </c>
      <c r="G93" s="12"/>
      <c r="H93" s="11" t="str">
        <f aca="false">IF(A93="","",COUNTIF(Chamados!$J$2:$J$501,A93))</f>
        <v/>
      </c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1" t="str">
        <f aca="false">IF(E94="","",IFERROR(INDEX(Unidades!$B$2:$B$218,MATCH(E94,Unidades!$A$2:$A$218,0)),"Código não encontrado"))</f>
        <v/>
      </c>
      <c r="G94" s="12"/>
      <c r="H94" s="11" t="str">
        <f aca="false">IF(A94="","",COUNTIF(Chamados!$J$2:$J$501,A94))</f>
        <v/>
      </c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1" t="str">
        <f aca="false">IF(E95="","",IFERROR(INDEX(Unidades!$B$2:$B$218,MATCH(E95,Unidades!$A$2:$A$218,0)),"Código não encontrado"))</f>
        <v/>
      </c>
      <c r="G95" s="12"/>
      <c r="H95" s="11" t="str">
        <f aca="false">IF(A95="","",COUNTIF(Chamados!$J$2:$J$501,A95))</f>
        <v/>
      </c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1" t="str">
        <f aca="false">IF(E96="","",IFERROR(INDEX(Unidades!$B$2:$B$218,MATCH(E96,Unidades!$A$2:$A$218,0)),"Código não encontrado"))</f>
        <v/>
      </c>
      <c r="G96" s="12"/>
      <c r="H96" s="11" t="str">
        <f aca="false">IF(A96="","",COUNTIF(Chamados!$J$2:$J$501,A96))</f>
        <v/>
      </c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1" t="str">
        <f aca="false">IF(E97="","",IFERROR(INDEX(Unidades!$B$2:$B$218,MATCH(E97,Unidades!$A$2:$A$218,0)),"Código não encontrado"))</f>
        <v/>
      </c>
      <c r="G97" s="12"/>
      <c r="H97" s="11" t="str">
        <f aca="false">IF(A97="","",COUNTIF(Chamados!$J$2:$J$501,A97))</f>
        <v/>
      </c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1" t="str">
        <f aca="false">IF(E98="","",IFERROR(INDEX(Unidades!$B$2:$B$218,MATCH(E98,Unidades!$A$2:$A$218,0)),"Código não encontrado"))</f>
        <v/>
      </c>
      <c r="G98" s="12"/>
      <c r="H98" s="11" t="str">
        <f aca="false">IF(A98="","",COUNTIF(Chamados!$J$2:$J$501,A98))</f>
        <v/>
      </c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1" t="str">
        <f aca="false">IF(E99="","",IFERROR(INDEX(Unidades!$B$2:$B$218,MATCH(E99,Unidades!$A$2:$A$218,0)),"Código não encontrado"))</f>
        <v/>
      </c>
      <c r="G99" s="12"/>
      <c r="H99" s="11" t="str">
        <f aca="false">IF(A99="","",COUNTIF(Chamados!$J$2:$J$501,A99))</f>
        <v/>
      </c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1" t="str">
        <f aca="false">IF(E100="","",IFERROR(INDEX(Unidades!$B$2:$B$218,MATCH(E100,Unidades!$A$2:$A$218,0)),"Código não encontrado"))</f>
        <v/>
      </c>
      <c r="G100" s="12"/>
      <c r="H100" s="11" t="str">
        <f aca="false">IF(A100="","",COUNTIF(Chamados!$J$2:$J$501,A100))</f>
        <v/>
      </c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1" t="str">
        <f aca="false">IF(E101="","",IFERROR(INDEX(Unidades!$B$2:$B$218,MATCH(E101,Unidades!$A$2:$A$218,0)),"Código não encontrado"))</f>
        <v/>
      </c>
      <c r="G101" s="12"/>
      <c r="H101" s="11" t="str">
        <f aca="false">IF(A101="","",COUNTIF(Chamados!$J$2:$J$501,A101))</f>
        <v/>
      </c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1" t="str">
        <f aca="false">IF(E102="","",IFERROR(INDEX(Unidades!$B$2:$B$218,MATCH(E102,Unidades!$A$2:$A$218,0)),"Código não encontrado"))</f>
        <v/>
      </c>
      <c r="G102" s="12"/>
      <c r="H102" s="11" t="str">
        <f aca="false">IF(A102="","",COUNTIF(Chamados!$J$2:$J$501,A102))</f>
        <v/>
      </c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1" t="str">
        <f aca="false">IF(E103="","",IFERROR(INDEX(Unidades!$B$2:$B$218,MATCH(E103,Unidades!$A$2:$A$218,0)),"Código não encontrado"))</f>
        <v/>
      </c>
      <c r="G103" s="12"/>
      <c r="H103" s="11" t="str">
        <f aca="false">IF(A103="","",COUNTIF(Chamados!$J$2:$J$501,A103))</f>
        <v/>
      </c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1" t="str">
        <f aca="false">IF(E104="","",IFERROR(INDEX(Unidades!$B$2:$B$218,MATCH(E104,Unidades!$A$2:$A$218,0)),"Código não encontrado"))</f>
        <v/>
      </c>
      <c r="G104" s="12"/>
      <c r="H104" s="11" t="str">
        <f aca="false">IF(A104="","",COUNTIF(Chamados!$J$2:$J$501,A104))</f>
        <v/>
      </c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1" t="str">
        <f aca="false">IF(E105="","",IFERROR(INDEX(Unidades!$B$2:$B$218,MATCH(E105,Unidades!$A$2:$A$218,0)),"Código não encontrado"))</f>
        <v/>
      </c>
      <c r="G105" s="12"/>
      <c r="H105" s="11" t="str">
        <f aca="false">IF(A105="","",COUNTIF(Chamados!$J$2:$J$501,A105))</f>
        <v/>
      </c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1" t="str">
        <f aca="false">IF(E106="","",IFERROR(INDEX(Unidades!$B$2:$B$218,MATCH(E106,Unidades!$A$2:$A$218,0)),"Código não encontrado"))</f>
        <v/>
      </c>
      <c r="G106" s="12"/>
      <c r="H106" s="11" t="str">
        <f aca="false">IF(A106="","",COUNTIF(Chamados!$J$2:$J$501,A106))</f>
        <v/>
      </c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1" t="str">
        <f aca="false">IF(E107="","",IFERROR(INDEX(Unidades!$B$2:$B$218,MATCH(E107,Unidades!$A$2:$A$218,0)),"Código não encontrado"))</f>
        <v/>
      </c>
      <c r="G107" s="12"/>
      <c r="H107" s="11" t="str">
        <f aca="false">IF(A107="","",COUNTIF(Chamados!$J$2:$J$501,A107))</f>
        <v/>
      </c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1" t="str">
        <f aca="false">IF(E108="","",IFERROR(INDEX(Unidades!$B$2:$B$218,MATCH(E108,Unidades!$A$2:$A$218,0)),"Código não encontrado"))</f>
        <v/>
      </c>
      <c r="G108" s="12"/>
      <c r="H108" s="11" t="str">
        <f aca="false">IF(A108="","",COUNTIF(Chamados!$J$2:$J$501,A108))</f>
        <v/>
      </c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1" t="str">
        <f aca="false">IF(E109="","",IFERROR(INDEX(Unidades!$B$2:$B$218,MATCH(E109,Unidades!$A$2:$A$218,0)),"Código não encontrado"))</f>
        <v/>
      </c>
      <c r="G109" s="12"/>
      <c r="H109" s="11" t="str">
        <f aca="false">IF(A109="","",COUNTIF(Chamados!$J$2:$J$501,A109))</f>
        <v/>
      </c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1" t="str">
        <f aca="false">IF(E110="","",IFERROR(INDEX(Unidades!$B$2:$B$218,MATCH(E110,Unidades!$A$2:$A$218,0)),"Código não encontrado"))</f>
        <v/>
      </c>
      <c r="G110" s="12"/>
      <c r="H110" s="11" t="str">
        <f aca="false">IF(A110="","",COUNTIF(Chamados!$J$2:$J$501,A110))</f>
        <v/>
      </c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1" t="str">
        <f aca="false">IF(E111="","",IFERROR(INDEX(Unidades!$B$2:$B$218,MATCH(E111,Unidades!$A$2:$A$218,0)),"Código não encontrado"))</f>
        <v/>
      </c>
      <c r="G111" s="12"/>
      <c r="H111" s="11" t="str">
        <f aca="false">IF(A111="","",COUNTIF(Chamados!$J$2:$J$501,A111))</f>
        <v/>
      </c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1" t="str">
        <f aca="false">IF(E112="","",IFERROR(INDEX(Unidades!$B$2:$B$218,MATCH(E112,Unidades!$A$2:$A$218,0)),"Código não encontrado"))</f>
        <v/>
      </c>
      <c r="G112" s="12"/>
      <c r="H112" s="11" t="str">
        <f aca="false">IF(A112="","",COUNTIF(Chamados!$J$2:$J$501,A112))</f>
        <v/>
      </c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1" t="str">
        <f aca="false">IF(E113="","",IFERROR(INDEX(Unidades!$B$2:$B$218,MATCH(E113,Unidades!$A$2:$A$218,0)),"Código não encontrado"))</f>
        <v/>
      </c>
      <c r="G113" s="12"/>
      <c r="H113" s="11" t="str">
        <f aca="false">IF(A113="","",COUNTIF(Chamados!$J$2:$J$501,A113))</f>
        <v/>
      </c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1" t="str">
        <f aca="false">IF(E114="","",IFERROR(INDEX(Unidades!$B$2:$B$218,MATCH(E114,Unidades!$A$2:$A$218,0)),"Código não encontrado"))</f>
        <v/>
      </c>
      <c r="G114" s="12"/>
      <c r="H114" s="11" t="str">
        <f aca="false">IF(A114="","",COUNTIF(Chamados!$J$2:$J$501,A114))</f>
        <v/>
      </c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1" t="str">
        <f aca="false">IF(E115="","",IFERROR(INDEX(Unidades!$B$2:$B$218,MATCH(E115,Unidades!$A$2:$A$218,0)),"Código não encontrado"))</f>
        <v/>
      </c>
      <c r="G115" s="12"/>
      <c r="H115" s="11" t="str">
        <f aca="false">IF(A115="","",COUNTIF(Chamados!$J$2:$J$501,A115))</f>
        <v/>
      </c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1" t="str">
        <f aca="false">IF(E116="","",IFERROR(INDEX(Unidades!$B$2:$B$218,MATCH(E116,Unidades!$A$2:$A$218,0)),"Código não encontrado"))</f>
        <v/>
      </c>
      <c r="G116" s="12"/>
      <c r="H116" s="11" t="str">
        <f aca="false">IF(A116="","",COUNTIF(Chamados!$J$2:$J$501,A116))</f>
        <v/>
      </c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1" t="str">
        <f aca="false">IF(E117="","",IFERROR(INDEX(Unidades!$B$2:$B$218,MATCH(E117,Unidades!$A$2:$A$218,0)),"Código não encontrado"))</f>
        <v/>
      </c>
      <c r="G117" s="12"/>
      <c r="H117" s="11" t="str">
        <f aca="false">IF(A117="","",COUNTIF(Chamados!$J$2:$J$501,A117))</f>
        <v/>
      </c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1" t="str">
        <f aca="false">IF(E118="","",IFERROR(INDEX(Unidades!$B$2:$B$218,MATCH(E118,Unidades!$A$2:$A$218,0)),"Código não encontrado"))</f>
        <v/>
      </c>
      <c r="G118" s="12"/>
      <c r="H118" s="11" t="str">
        <f aca="false">IF(A118="","",COUNTIF(Chamados!$J$2:$J$501,A118))</f>
        <v/>
      </c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1" t="str">
        <f aca="false">IF(E119="","",IFERROR(INDEX(Unidades!$B$2:$B$218,MATCH(E119,Unidades!$A$2:$A$218,0)),"Código não encontrado"))</f>
        <v/>
      </c>
      <c r="G119" s="12"/>
      <c r="H119" s="11" t="str">
        <f aca="false">IF(A119="","",COUNTIF(Chamados!$J$2:$J$501,A119))</f>
        <v/>
      </c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1" t="str">
        <f aca="false">IF(E120="","",IFERROR(INDEX(Unidades!$B$2:$B$218,MATCH(E120,Unidades!$A$2:$A$218,0)),"Código não encontrado"))</f>
        <v/>
      </c>
      <c r="G120" s="12"/>
      <c r="H120" s="11" t="str">
        <f aca="false">IF(A120="","",COUNTIF(Chamados!$J$2:$J$501,A120))</f>
        <v/>
      </c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1" t="str">
        <f aca="false">IF(E121="","",IFERROR(INDEX(Unidades!$B$2:$B$218,MATCH(E121,Unidades!$A$2:$A$218,0)),"Código não encontrado"))</f>
        <v/>
      </c>
      <c r="G121" s="12"/>
      <c r="H121" s="11" t="str">
        <f aca="false">IF(A121="","",COUNTIF(Chamados!$J$2:$J$501,A121))</f>
        <v/>
      </c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1" t="str">
        <f aca="false">IF(E122="","",IFERROR(INDEX(Unidades!$B$2:$B$218,MATCH(E122,Unidades!$A$2:$A$218,0)),"Código não encontrado"))</f>
        <v/>
      </c>
      <c r="G122" s="12"/>
      <c r="H122" s="11" t="str">
        <f aca="false">IF(A122="","",COUNTIF(Chamados!$J$2:$J$501,A122))</f>
        <v/>
      </c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1" t="str">
        <f aca="false">IF(E123="","",IFERROR(INDEX(Unidades!$B$2:$B$218,MATCH(E123,Unidades!$A$2:$A$218,0)),"Código não encontrado"))</f>
        <v/>
      </c>
      <c r="G123" s="12"/>
      <c r="H123" s="11" t="str">
        <f aca="false">IF(A123="","",COUNTIF(Chamados!$J$2:$J$501,A123))</f>
        <v/>
      </c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1" t="str">
        <f aca="false">IF(E124="","",IFERROR(INDEX(Unidades!$B$2:$B$218,MATCH(E124,Unidades!$A$2:$A$218,0)),"Código não encontrado"))</f>
        <v/>
      </c>
      <c r="G124" s="12"/>
      <c r="H124" s="11" t="str">
        <f aca="false">IF(A124="","",COUNTIF(Chamados!$J$2:$J$501,A124))</f>
        <v/>
      </c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1" t="str">
        <f aca="false">IF(E125="","",IFERROR(INDEX(Unidades!$B$2:$B$218,MATCH(E125,Unidades!$A$2:$A$218,0)),"Código não encontrado"))</f>
        <v/>
      </c>
      <c r="G125" s="12"/>
      <c r="H125" s="11" t="str">
        <f aca="false">IF(A125="","",COUNTIF(Chamados!$J$2:$J$501,A125))</f>
        <v/>
      </c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1" t="str">
        <f aca="false">IF(E126="","",IFERROR(INDEX(Unidades!$B$2:$B$218,MATCH(E126,Unidades!$A$2:$A$218,0)),"Código não encontrado"))</f>
        <v/>
      </c>
      <c r="G126" s="12"/>
      <c r="H126" s="11" t="str">
        <f aca="false">IF(A126="","",COUNTIF(Chamados!$J$2:$J$501,A126))</f>
        <v/>
      </c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1" t="str">
        <f aca="false">IF(E127="","",IFERROR(INDEX(Unidades!$B$2:$B$218,MATCH(E127,Unidades!$A$2:$A$218,0)),"Código não encontrado"))</f>
        <v/>
      </c>
      <c r="G127" s="12"/>
      <c r="H127" s="11" t="str">
        <f aca="false">IF(A127="","",COUNTIF(Chamados!$J$2:$J$501,A127))</f>
        <v/>
      </c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1" t="str">
        <f aca="false">IF(E128="","",IFERROR(INDEX(Unidades!$B$2:$B$218,MATCH(E128,Unidades!$A$2:$A$218,0)),"Código não encontrado"))</f>
        <v/>
      </c>
      <c r="G128" s="12"/>
      <c r="H128" s="11" t="str">
        <f aca="false">IF(A128="","",COUNTIF(Chamados!$J$2:$J$501,A128))</f>
        <v/>
      </c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1" t="str">
        <f aca="false">IF(E129="","",IFERROR(INDEX(Unidades!$B$2:$B$218,MATCH(E129,Unidades!$A$2:$A$218,0)),"Código não encontrado"))</f>
        <v/>
      </c>
      <c r="G129" s="12"/>
      <c r="H129" s="11" t="str">
        <f aca="false">IF(A129="","",COUNTIF(Chamados!$J$2:$J$501,A129))</f>
        <v/>
      </c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1" t="str">
        <f aca="false">IF(E130="","",IFERROR(INDEX(Unidades!$B$2:$B$218,MATCH(E130,Unidades!$A$2:$A$218,0)),"Código não encontrado"))</f>
        <v/>
      </c>
      <c r="G130" s="12"/>
      <c r="H130" s="11" t="str">
        <f aca="false">IF(A130="","",COUNTIF(Chamados!$J$2:$J$501,A130))</f>
        <v/>
      </c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1" t="str">
        <f aca="false">IF(E131="","",IFERROR(INDEX(Unidades!$B$2:$B$218,MATCH(E131,Unidades!$A$2:$A$218,0)),"Código não encontrado"))</f>
        <v/>
      </c>
      <c r="G131" s="12"/>
      <c r="H131" s="11" t="str">
        <f aca="false">IF(A131="","",COUNTIF(Chamados!$J$2:$J$501,A131))</f>
        <v/>
      </c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1" t="str">
        <f aca="false">IF(E132="","",IFERROR(INDEX(Unidades!$B$2:$B$218,MATCH(E132,Unidades!$A$2:$A$218,0)),"Código não encontrado"))</f>
        <v/>
      </c>
      <c r="G132" s="12"/>
      <c r="H132" s="11" t="str">
        <f aca="false">IF(A132="","",COUNTIF(Chamados!$J$2:$J$501,A132))</f>
        <v/>
      </c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1" t="str">
        <f aca="false">IF(E133="","",IFERROR(INDEX(Unidades!$B$2:$B$218,MATCH(E133,Unidades!$A$2:$A$218,0)),"Código não encontrado"))</f>
        <v/>
      </c>
      <c r="G133" s="12"/>
      <c r="H133" s="11" t="str">
        <f aca="false">IF(A133="","",COUNTIF(Chamados!$J$2:$J$501,A133))</f>
        <v/>
      </c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1" t="str">
        <f aca="false">IF(E134="","",IFERROR(INDEX(Unidades!$B$2:$B$218,MATCH(E134,Unidades!$A$2:$A$218,0)),"Código não encontrado"))</f>
        <v/>
      </c>
      <c r="G134" s="12"/>
      <c r="H134" s="11" t="str">
        <f aca="false">IF(A134="","",COUNTIF(Chamados!$J$2:$J$501,A134))</f>
        <v/>
      </c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1" t="str">
        <f aca="false">IF(E135="","",IFERROR(INDEX(Unidades!$B$2:$B$218,MATCH(E135,Unidades!$A$2:$A$218,0)),"Código não encontrado"))</f>
        <v/>
      </c>
      <c r="G135" s="12"/>
      <c r="H135" s="11" t="str">
        <f aca="false">IF(A135="","",COUNTIF(Chamados!$J$2:$J$501,A135))</f>
        <v/>
      </c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1" t="str">
        <f aca="false">IF(E136="","",IFERROR(INDEX(Unidades!$B$2:$B$218,MATCH(E136,Unidades!$A$2:$A$218,0)),"Código não encontrado"))</f>
        <v/>
      </c>
      <c r="G136" s="12"/>
      <c r="H136" s="11" t="str">
        <f aca="false">IF(A136="","",COUNTIF(Chamados!$J$2:$J$501,A136))</f>
        <v/>
      </c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1" t="str">
        <f aca="false">IF(E137="","",IFERROR(INDEX(Unidades!$B$2:$B$218,MATCH(E137,Unidades!$A$2:$A$218,0)),"Código não encontrado"))</f>
        <v/>
      </c>
      <c r="G137" s="12"/>
      <c r="H137" s="11" t="str">
        <f aca="false">IF(A137="","",COUNTIF(Chamados!$J$2:$J$501,A137))</f>
        <v/>
      </c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1" t="str">
        <f aca="false">IF(E138="","",IFERROR(INDEX(Unidades!$B$2:$B$218,MATCH(E138,Unidades!$A$2:$A$218,0)),"Código não encontrado"))</f>
        <v/>
      </c>
      <c r="G138" s="12"/>
      <c r="H138" s="11" t="str">
        <f aca="false">IF(A138="","",COUNTIF(Chamados!$J$2:$J$501,A138))</f>
        <v/>
      </c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1" t="str">
        <f aca="false">IF(E139="","",IFERROR(INDEX(Unidades!$B$2:$B$218,MATCH(E139,Unidades!$A$2:$A$218,0)),"Código não encontrado"))</f>
        <v/>
      </c>
      <c r="G139" s="12"/>
      <c r="H139" s="11" t="str">
        <f aca="false">IF(A139="","",COUNTIF(Chamados!$J$2:$J$501,A139))</f>
        <v/>
      </c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1" t="str">
        <f aca="false">IF(E140="","",IFERROR(INDEX(Unidades!$B$2:$B$218,MATCH(E140,Unidades!$A$2:$A$218,0)),"Código não encontrado"))</f>
        <v/>
      </c>
      <c r="G140" s="12"/>
      <c r="H140" s="11" t="str">
        <f aca="false">IF(A140="","",COUNTIF(Chamados!$J$2:$J$501,A140))</f>
        <v/>
      </c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1" t="str">
        <f aca="false">IF(E141="","",IFERROR(INDEX(Unidades!$B$2:$B$218,MATCH(E141,Unidades!$A$2:$A$218,0)),"Código não encontrado"))</f>
        <v/>
      </c>
      <c r="G141" s="12"/>
      <c r="H141" s="11" t="str">
        <f aca="false">IF(A141="","",COUNTIF(Chamados!$J$2:$J$501,A141))</f>
        <v/>
      </c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1" t="str">
        <f aca="false">IF(E142="","",IFERROR(INDEX(Unidades!$B$2:$B$218,MATCH(E142,Unidades!$A$2:$A$218,0)),"Código não encontrado"))</f>
        <v/>
      </c>
      <c r="G142" s="12"/>
      <c r="H142" s="11" t="str">
        <f aca="false">IF(A142="","",COUNTIF(Chamados!$J$2:$J$501,A142))</f>
        <v/>
      </c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1" t="str">
        <f aca="false">IF(E143="","",IFERROR(INDEX(Unidades!$B$2:$B$218,MATCH(E143,Unidades!$A$2:$A$218,0)),"Código não encontrado"))</f>
        <v/>
      </c>
      <c r="G143" s="12"/>
      <c r="H143" s="11" t="str">
        <f aca="false">IF(A143="","",COUNTIF(Chamados!$J$2:$J$501,A143))</f>
        <v/>
      </c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1" t="str">
        <f aca="false">IF(E144="","",IFERROR(INDEX(Unidades!$B$2:$B$218,MATCH(E144,Unidades!$A$2:$A$218,0)),"Código não encontrado"))</f>
        <v/>
      </c>
      <c r="G144" s="12"/>
      <c r="H144" s="11" t="str">
        <f aca="false">IF(A144="","",COUNTIF(Chamados!$J$2:$J$501,A144))</f>
        <v/>
      </c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1" t="str">
        <f aca="false">IF(E145="","",IFERROR(INDEX(Unidades!$B$2:$B$218,MATCH(E145,Unidades!$A$2:$A$218,0)),"Código não encontrado"))</f>
        <v/>
      </c>
      <c r="G145" s="12"/>
      <c r="H145" s="11" t="str">
        <f aca="false">IF(A145="","",COUNTIF(Chamados!$J$2:$J$501,A145))</f>
        <v/>
      </c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1" t="str">
        <f aca="false">IF(E146="","",IFERROR(INDEX(Unidades!$B$2:$B$218,MATCH(E146,Unidades!$A$2:$A$218,0)),"Código não encontrado"))</f>
        <v/>
      </c>
      <c r="G146" s="12"/>
      <c r="H146" s="11" t="str">
        <f aca="false">IF(A146="","",COUNTIF(Chamados!$J$2:$J$501,A146))</f>
        <v/>
      </c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1" t="str">
        <f aca="false">IF(E147="","",IFERROR(INDEX(Unidades!$B$2:$B$218,MATCH(E147,Unidades!$A$2:$A$218,0)),"Código não encontrado"))</f>
        <v/>
      </c>
      <c r="G147" s="12"/>
      <c r="H147" s="11" t="str">
        <f aca="false">IF(A147="","",COUNTIF(Chamados!$J$2:$J$501,A147))</f>
        <v/>
      </c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1" t="str">
        <f aca="false">IF(E148="","",IFERROR(INDEX(Unidades!$B$2:$B$218,MATCH(E148,Unidades!$A$2:$A$218,0)),"Código não encontrado"))</f>
        <v/>
      </c>
      <c r="G148" s="12"/>
      <c r="H148" s="11" t="str">
        <f aca="false">IF(A148="","",COUNTIF(Chamados!$J$2:$J$501,A148))</f>
        <v/>
      </c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1" t="str">
        <f aca="false">IF(E149="","",IFERROR(INDEX(Unidades!$B$2:$B$218,MATCH(E149,Unidades!$A$2:$A$218,0)),"Código não encontrado"))</f>
        <v/>
      </c>
      <c r="G149" s="12"/>
      <c r="H149" s="11" t="str">
        <f aca="false">IF(A149="","",COUNTIF(Chamados!$J$2:$J$501,A149))</f>
        <v/>
      </c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1" t="str">
        <f aca="false">IF(E150="","",IFERROR(INDEX(Unidades!$B$2:$B$218,MATCH(E150,Unidades!$A$2:$A$218,0)),"Código não encontrado"))</f>
        <v/>
      </c>
      <c r="G150" s="12"/>
      <c r="H150" s="11" t="str">
        <f aca="false">IF(A150="","",COUNTIF(Chamados!$J$2:$J$501,A150))</f>
        <v/>
      </c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1" t="str">
        <f aca="false">IF(E151="","",IFERROR(INDEX(Unidades!$B$2:$B$218,MATCH(E151,Unidades!$A$2:$A$218,0)),"Código não encontrado"))</f>
        <v/>
      </c>
      <c r="G151" s="12"/>
      <c r="H151" s="11" t="str">
        <f aca="false">IF(A151="","",COUNTIF(Chamados!$J$2:$J$501,A151))</f>
        <v/>
      </c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1" t="str">
        <f aca="false">IF(E152="","",IFERROR(INDEX(Unidades!$B$2:$B$218,MATCH(E152,Unidades!$A$2:$A$218,0)),"Código não encontrado"))</f>
        <v/>
      </c>
      <c r="G152" s="12"/>
      <c r="H152" s="11" t="str">
        <f aca="false">IF(A152="","",COUNTIF(Chamados!$J$2:$J$501,A152))</f>
        <v/>
      </c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1" t="str">
        <f aca="false">IF(E153="","",IFERROR(INDEX(Unidades!$B$2:$B$218,MATCH(E153,Unidades!$A$2:$A$218,0)),"Código não encontrado"))</f>
        <v/>
      </c>
      <c r="G153" s="12"/>
      <c r="H153" s="11" t="str">
        <f aca="false">IF(A153="","",COUNTIF(Chamados!$J$2:$J$501,A153))</f>
        <v/>
      </c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1" t="str">
        <f aca="false">IF(E154="","",IFERROR(INDEX(Unidades!$B$2:$B$218,MATCH(E154,Unidades!$A$2:$A$218,0)),"Código não encontrado"))</f>
        <v/>
      </c>
      <c r="G154" s="12"/>
      <c r="H154" s="11" t="str">
        <f aca="false">IF(A154="","",COUNTIF(Chamados!$J$2:$J$501,A154))</f>
        <v/>
      </c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1" t="str">
        <f aca="false">IF(E155="","",IFERROR(INDEX(Unidades!$B$2:$B$218,MATCH(E155,Unidades!$A$2:$A$218,0)),"Código não encontrado"))</f>
        <v/>
      </c>
      <c r="G155" s="12"/>
      <c r="H155" s="11" t="str">
        <f aca="false">IF(A155="","",COUNTIF(Chamados!$J$2:$J$501,A155))</f>
        <v/>
      </c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1" t="str">
        <f aca="false">IF(E156="","",IFERROR(INDEX(Unidades!$B$2:$B$218,MATCH(E156,Unidades!$A$2:$A$218,0)),"Código não encontrado"))</f>
        <v/>
      </c>
      <c r="G156" s="12"/>
      <c r="H156" s="11" t="str">
        <f aca="false">IF(A156="","",COUNTIF(Chamados!$J$2:$J$501,A156))</f>
        <v/>
      </c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1" t="str">
        <f aca="false">IF(E157="","",IFERROR(INDEX(Unidades!$B$2:$B$218,MATCH(E157,Unidades!$A$2:$A$218,0)),"Código não encontrado"))</f>
        <v/>
      </c>
      <c r="G157" s="12"/>
      <c r="H157" s="11" t="str">
        <f aca="false">IF(A157="","",COUNTIF(Chamados!$J$2:$J$501,A157))</f>
        <v/>
      </c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1" t="str">
        <f aca="false">IF(E158="","",IFERROR(INDEX(Unidades!$B$2:$B$218,MATCH(E158,Unidades!$A$2:$A$218,0)),"Código não encontrado"))</f>
        <v/>
      </c>
      <c r="G158" s="12"/>
      <c r="H158" s="11" t="str">
        <f aca="false">IF(A158="","",COUNTIF(Chamados!$J$2:$J$501,A158))</f>
        <v/>
      </c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1" t="str">
        <f aca="false">IF(E159="","",IFERROR(INDEX(Unidades!$B$2:$B$218,MATCH(E159,Unidades!$A$2:$A$218,0)),"Código não encontrado"))</f>
        <v/>
      </c>
      <c r="G159" s="12"/>
      <c r="H159" s="11" t="str">
        <f aca="false">IF(A159="","",COUNTIF(Chamados!$J$2:$J$501,A159))</f>
        <v/>
      </c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1" t="str">
        <f aca="false">IF(E160="","",IFERROR(INDEX(Unidades!$B$2:$B$218,MATCH(E160,Unidades!$A$2:$A$218,0)),"Código não encontrado"))</f>
        <v/>
      </c>
      <c r="G160" s="12"/>
      <c r="H160" s="11" t="str">
        <f aca="false">IF(A160="","",COUNTIF(Chamados!$J$2:$J$501,A160))</f>
        <v/>
      </c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1" t="str">
        <f aca="false">IF(E161="","",IFERROR(INDEX(Unidades!$B$2:$B$218,MATCH(E161,Unidades!$A$2:$A$218,0)),"Código não encontrado"))</f>
        <v/>
      </c>
      <c r="G161" s="12"/>
      <c r="H161" s="11" t="str">
        <f aca="false">IF(A161="","",COUNTIF(Chamados!$J$2:$J$501,A161))</f>
        <v/>
      </c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1" t="str">
        <f aca="false">IF(E162="","",IFERROR(INDEX(Unidades!$B$2:$B$218,MATCH(E162,Unidades!$A$2:$A$218,0)),"Código não encontrado"))</f>
        <v/>
      </c>
      <c r="G162" s="12"/>
      <c r="H162" s="11" t="str">
        <f aca="false">IF(A162="","",COUNTIF(Chamados!$J$2:$J$501,A162))</f>
        <v/>
      </c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1" t="str">
        <f aca="false">IF(E163="","",IFERROR(INDEX(Unidades!$B$2:$B$218,MATCH(E163,Unidades!$A$2:$A$218,0)),"Código não encontrado"))</f>
        <v/>
      </c>
      <c r="G163" s="12"/>
      <c r="H163" s="11" t="str">
        <f aca="false">IF(A163="","",COUNTIF(Chamados!$J$2:$J$501,A163))</f>
        <v/>
      </c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1" t="str">
        <f aca="false">IF(E164="","",IFERROR(INDEX(Unidades!$B$2:$B$218,MATCH(E164,Unidades!$A$2:$A$218,0)),"Código não encontrado"))</f>
        <v/>
      </c>
      <c r="G164" s="12"/>
      <c r="H164" s="11" t="str">
        <f aca="false">IF(A164="","",COUNTIF(Chamados!$J$2:$J$501,A164))</f>
        <v/>
      </c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1" t="str">
        <f aca="false">IF(E165="","",IFERROR(INDEX(Unidades!$B$2:$B$218,MATCH(E165,Unidades!$A$2:$A$218,0)),"Código não encontrado"))</f>
        <v/>
      </c>
      <c r="G165" s="12"/>
      <c r="H165" s="11" t="str">
        <f aca="false">IF(A165="","",COUNTIF(Chamados!$J$2:$J$501,A165))</f>
        <v/>
      </c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1" t="str">
        <f aca="false">IF(E166="","",IFERROR(INDEX(Unidades!$B$2:$B$218,MATCH(E166,Unidades!$A$2:$A$218,0)),"Código não encontrado"))</f>
        <v/>
      </c>
      <c r="G166" s="12"/>
      <c r="H166" s="11" t="str">
        <f aca="false">IF(A166="","",COUNTIF(Chamados!$J$2:$J$501,A166))</f>
        <v/>
      </c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1" t="str">
        <f aca="false">IF(E167="","",IFERROR(INDEX(Unidades!$B$2:$B$218,MATCH(E167,Unidades!$A$2:$A$218,0)),"Código não encontrado"))</f>
        <v/>
      </c>
      <c r="G167" s="12"/>
      <c r="H167" s="11" t="str">
        <f aca="false">IF(A167="","",COUNTIF(Chamados!$J$2:$J$501,A167))</f>
        <v/>
      </c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1" t="str">
        <f aca="false">IF(E168="","",IFERROR(INDEX(Unidades!$B$2:$B$218,MATCH(E168,Unidades!$A$2:$A$218,0)),"Código não encontrado"))</f>
        <v/>
      </c>
      <c r="G168" s="12"/>
      <c r="H168" s="11" t="str">
        <f aca="false">IF(A168="","",COUNTIF(Chamados!$J$2:$J$501,A168))</f>
        <v/>
      </c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1" t="str">
        <f aca="false">IF(E169="","",IFERROR(INDEX(Unidades!$B$2:$B$218,MATCH(E169,Unidades!$A$2:$A$218,0)),"Código não encontrado"))</f>
        <v/>
      </c>
      <c r="G169" s="12"/>
      <c r="H169" s="11" t="str">
        <f aca="false">IF(A169="","",COUNTIF(Chamados!$J$2:$J$501,A169))</f>
        <v/>
      </c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1" t="str">
        <f aca="false">IF(E170="","",IFERROR(INDEX(Unidades!$B$2:$B$218,MATCH(E170,Unidades!$A$2:$A$218,0)),"Código não encontrado"))</f>
        <v/>
      </c>
      <c r="G170" s="12"/>
      <c r="H170" s="11" t="str">
        <f aca="false">IF(A170="","",COUNTIF(Chamados!$J$2:$J$501,A170))</f>
        <v/>
      </c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1" t="str">
        <f aca="false">IF(E171="","",IFERROR(INDEX(Unidades!$B$2:$B$218,MATCH(E171,Unidades!$A$2:$A$218,0)),"Código não encontrado"))</f>
        <v/>
      </c>
      <c r="G171" s="12"/>
      <c r="H171" s="11" t="str">
        <f aca="false">IF(A171="","",COUNTIF(Chamados!$J$2:$J$501,A171))</f>
        <v/>
      </c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1" t="str">
        <f aca="false">IF(E172="","",IFERROR(INDEX(Unidades!$B$2:$B$218,MATCH(E172,Unidades!$A$2:$A$218,0)),"Código não encontrado"))</f>
        <v/>
      </c>
      <c r="G172" s="12"/>
      <c r="H172" s="11" t="str">
        <f aca="false">IF(A172="","",COUNTIF(Chamados!$J$2:$J$501,A172))</f>
        <v/>
      </c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1" t="str">
        <f aca="false">IF(E173="","",IFERROR(INDEX(Unidades!$B$2:$B$218,MATCH(E173,Unidades!$A$2:$A$218,0)),"Código não encontrado"))</f>
        <v/>
      </c>
      <c r="G173" s="12"/>
      <c r="H173" s="11" t="str">
        <f aca="false">IF(A173="","",COUNTIF(Chamados!$J$2:$J$501,A173))</f>
        <v/>
      </c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1" t="str">
        <f aca="false">IF(E174="","",IFERROR(INDEX(Unidades!$B$2:$B$218,MATCH(E174,Unidades!$A$2:$A$218,0)),"Código não encontrado"))</f>
        <v/>
      </c>
      <c r="G174" s="12"/>
      <c r="H174" s="11" t="str">
        <f aca="false">IF(A174="","",COUNTIF(Chamados!$J$2:$J$501,A174))</f>
        <v/>
      </c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1" t="str">
        <f aca="false">IF(E175="","",IFERROR(INDEX(Unidades!$B$2:$B$218,MATCH(E175,Unidades!$A$2:$A$218,0)),"Código não encontrado"))</f>
        <v/>
      </c>
      <c r="G175" s="12"/>
      <c r="H175" s="11" t="str">
        <f aca="false">IF(A175="","",COUNTIF(Chamados!$J$2:$J$501,A175))</f>
        <v/>
      </c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1" t="str">
        <f aca="false">IF(E176="","",IFERROR(INDEX(Unidades!$B$2:$B$218,MATCH(E176,Unidades!$A$2:$A$218,0)),"Código não encontrado"))</f>
        <v/>
      </c>
      <c r="G176" s="12"/>
      <c r="H176" s="11" t="str">
        <f aca="false">IF(A176="","",COUNTIF(Chamados!$J$2:$J$501,A176))</f>
        <v/>
      </c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1" t="str">
        <f aca="false">IF(E177="","",IFERROR(INDEX(Unidades!$B$2:$B$218,MATCH(E177,Unidades!$A$2:$A$218,0)),"Código não encontrado"))</f>
        <v/>
      </c>
      <c r="G177" s="12"/>
      <c r="H177" s="11" t="str">
        <f aca="false">IF(A177="","",COUNTIF(Chamados!$J$2:$J$501,A177))</f>
        <v/>
      </c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1" t="str">
        <f aca="false">IF(E178="","",IFERROR(INDEX(Unidades!$B$2:$B$218,MATCH(E178,Unidades!$A$2:$A$218,0)),"Código não encontrado"))</f>
        <v/>
      </c>
      <c r="G178" s="12"/>
      <c r="H178" s="11" t="str">
        <f aca="false">IF(A178="","",COUNTIF(Chamados!$J$2:$J$501,A178))</f>
        <v/>
      </c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1" t="str">
        <f aca="false">IF(E179="","",IFERROR(INDEX(Unidades!$B$2:$B$218,MATCH(E179,Unidades!$A$2:$A$218,0)),"Código não encontrado"))</f>
        <v/>
      </c>
      <c r="G179" s="12"/>
      <c r="H179" s="11" t="str">
        <f aca="false">IF(A179="","",COUNTIF(Chamados!$J$2:$J$501,A179))</f>
        <v/>
      </c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1" t="str">
        <f aca="false">IF(E180="","",IFERROR(INDEX(Unidades!$B$2:$B$218,MATCH(E180,Unidades!$A$2:$A$218,0)),"Código não encontrado"))</f>
        <v/>
      </c>
      <c r="G180" s="12"/>
      <c r="H180" s="11" t="str">
        <f aca="false">IF(A180="","",COUNTIF(Chamados!$J$2:$J$501,A180))</f>
        <v/>
      </c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1" t="str">
        <f aca="false">IF(E181="","",IFERROR(INDEX(Unidades!$B$2:$B$218,MATCH(E181,Unidades!$A$2:$A$218,0)),"Código não encontrado"))</f>
        <v/>
      </c>
      <c r="G181" s="12"/>
      <c r="H181" s="11" t="str">
        <f aca="false">IF(A181="","",COUNTIF(Chamados!$J$2:$J$501,A181))</f>
        <v/>
      </c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1" t="str">
        <f aca="false">IF(E182="","",IFERROR(INDEX(Unidades!$B$2:$B$218,MATCH(E182,Unidades!$A$2:$A$218,0)),"Código não encontrado"))</f>
        <v/>
      </c>
      <c r="G182" s="12"/>
      <c r="H182" s="11" t="str">
        <f aca="false">IF(A182="","",COUNTIF(Chamados!$J$2:$J$501,A182))</f>
        <v/>
      </c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1" t="str">
        <f aca="false">IF(E183="","",IFERROR(INDEX(Unidades!$B$2:$B$218,MATCH(E183,Unidades!$A$2:$A$218,0)),"Código não encontrado"))</f>
        <v/>
      </c>
      <c r="G183" s="12"/>
      <c r="H183" s="11" t="str">
        <f aca="false">IF(A183="","",COUNTIF(Chamados!$J$2:$J$501,A183))</f>
        <v/>
      </c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1" t="str">
        <f aca="false">IF(E184="","",IFERROR(INDEX(Unidades!$B$2:$B$218,MATCH(E184,Unidades!$A$2:$A$218,0)),"Código não encontrado"))</f>
        <v/>
      </c>
      <c r="G184" s="12"/>
      <c r="H184" s="11" t="str">
        <f aca="false">IF(A184="","",COUNTIF(Chamados!$J$2:$J$501,A184))</f>
        <v/>
      </c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1" t="str">
        <f aca="false">IF(E185="","",IFERROR(INDEX(Unidades!$B$2:$B$218,MATCH(E185,Unidades!$A$2:$A$218,0)),"Código não encontrado"))</f>
        <v/>
      </c>
      <c r="G185" s="12"/>
      <c r="H185" s="11" t="str">
        <f aca="false">IF(A185="","",COUNTIF(Chamados!$J$2:$J$501,A185))</f>
        <v/>
      </c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1" t="str">
        <f aca="false">IF(E186="","",IFERROR(INDEX(Unidades!$B$2:$B$218,MATCH(E186,Unidades!$A$2:$A$218,0)),"Código não encontrado"))</f>
        <v/>
      </c>
      <c r="G186" s="12"/>
      <c r="H186" s="11" t="str">
        <f aca="false">IF(A186="","",COUNTIF(Chamados!$J$2:$J$501,A186))</f>
        <v/>
      </c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1" t="str">
        <f aca="false">IF(E187="","",IFERROR(INDEX(Unidades!$B$2:$B$218,MATCH(E187,Unidades!$A$2:$A$218,0)),"Código não encontrado"))</f>
        <v/>
      </c>
      <c r="G187" s="12"/>
      <c r="H187" s="11" t="str">
        <f aca="false">IF(A187="","",COUNTIF(Chamados!$J$2:$J$501,A187))</f>
        <v/>
      </c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1" t="str">
        <f aca="false">IF(E188="","",IFERROR(INDEX(Unidades!$B$2:$B$218,MATCH(E188,Unidades!$A$2:$A$218,0)),"Código não encontrado"))</f>
        <v/>
      </c>
      <c r="G188" s="12"/>
      <c r="H188" s="11" t="str">
        <f aca="false">IF(A188="","",COUNTIF(Chamados!$J$2:$J$501,A188))</f>
        <v/>
      </c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1" t="str">
        <f aca="false">IF(E189="","",IFERROR(INDEX(Unidades!$B$2:$B$218,MATCH(E189,Unidades!$A$2:$A$218,0)),"Código não encontrado"))</f>
        <v/>
      </c>
      <c r="G189" s="12"/>
      <c r="H189" s="11" t="str">
        <f aca="false">IF(A189="","",COUNTIF(Chamados!$J$2:$J$501,A189))</f>
        <v/>
      </c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1" t="str">
        <f aca="false">IF(E190="","",IFERROR(INDEX(Unidades!$B$2:$B$218,MATCH(E190,Unidades!$A$2:$A$218,0)),"Código não encontrado"))</f>
        <v/>
      </c>
      <c r="G190" s="12"/>
      <c r="H190" s="11" t="str">
        <f aca="false">IF(A190="","",COUNTIF(Chamados!$J$2:$J$501,A190))</f>
        <v/>
      </c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1" t="str">
        <f aca="false">IF(E191="","",IFERROR(INDEX(Unidades!$B$2:$B$218,MATCH(E191,Unidades!$A$2:$A$218,0)),"Código não encontrado"))</f>
        <v/>
      </c>
      <c r="G191" s="12"/>
      <c r="H191" s="11" t="str">
        <f aca="false">IF(A191="","",COUNTIF(Chamados!$J$2:$J$501,A191))</f>
        <v/>
      </c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1" t="str">
        <f aca="false">IF(E192="","",IFERROR(INDEX(Unidades!$B$2:$B$218,MATCH(E192,Unidades!$A$2:$A$218,0)),"Código não encontrado"))</f>
        <v/>
      </c>
      <c r="G192" s="12"/>
      <c r="H192" s="11" t="str">
        <f aca="false">IF(A192="","",COUNTIF(Chamados!$J$2:$J$501,A192))</f>
        <v/>
      </c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1" t="str">
        <f aca="false">IF(E193="","",IFERROR(INDEX(Unidades!$B$2:$B$218,MATCH(E193,Unidades!$A$2:$A$218,0)),"Código não encontrado"))</f>
        <v/>
      </c>
      <c r="G193" s="12"/>
      <c r="H193" s="11" t="str">
        <f aca="false">IF(A193="","",COUNTIF(Chamados!$J$2:$J$501,A193))</f>
        <v/>
      </c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1" t="str">
        <f aca="false">IF(E194="","",IFERROR(INDEX(Unidades!$B$2:$B$218,MATCH(E194,Unidades!$A$2:$A$218,0)),"Código não encontrado"))</f>
        <v/>
      </c>
      <c r="G194" s="12"/>
      <c r="H194" s="11" t="str">
        <f aca="false">IF(A194="","",COUNTIF(Chamados!$J$2:$J$501,A194))</f>
        <v/>
      </c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1" t="str">
        <f aca="false">IF(E195="","",IFERROR(INDEX(Unidades!$B$2:$B$218,MATCH(E195,Unidades!$A$2:$A$218,0)),"Código não encontrado"))</f>
        <v/>
      </c>
      <c r="G195" s="12"/>
      <c r="H195" s="11" t="str">
        <f aca="false">IF(A195="","",COUNTIF(Chamados!$J$2:$J$501,A195))</f>
        <v/>
      </c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1" t="str">
        <f aca="false">IF(E196="","",IFERROR(INDEX(Unidades!$B$2:$B$218,MATCH(E196,Unidades!$A$2:$A$218,0)),"Código não encontrado"))</f>
        <v/>
      </c>
      <c r="G196" s="12"/>
      <c r="H196" s="11" t="str">
        <f aca="false">IF(A196="","",COUNTIF(Chamados!$J$2:$J$501,A196))</f>
        <v/>
      </c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1" t="str">
        <f aca="false">IF(E197="","",IFERROR(INDEX(Unidades!$B$2:$B$218,MATCH(E197,Unidades!$A$2:$A$218,0)),"Código não encontrado"))</f>
        <v/>
      </c>
      <c r="G197" s="12"/>
      <c r="H197" s="11" t="str">
        <f aca="false">IF(A197="","",COUNTIF(Chamados!$J$2:$J$501,A197))</f>
        <v/>
      </c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1" t="str">
        <f aca="false">IF(E198="","",IFERROR(INDEX(Unidades!$B$2:$B$218,MATCH(E198,Unidades!$A$2:$A$218,0)),"Código não encontrado"))</f>
        <v/>
      </c>
      <c r="G198" s="12"/>
      <c r="H198" s="11" t="str">
        <f aca="false">IF(A198="","",COUNTIF(Chamados!$J$2:$J$501,A198))</f>
        <v/>
      </c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1" t="str">
        <f aca="false">IF(E199="","",IFERROR(INDEX(Unidades!$B$2:$B$218,MATCH(E199,Unidades!$A$2:$A$218,0)),"Código não encontrado"))</f>
        <v/>
      </c>
      <c r="G199" s="12"/>
      <c r="H199" s="11" t="str">
        <f aca="false">IF(A199="","",COUNTIF(Chamados!$J$2:$J$501,A199))</f>
        <v/>
      </c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1" t="str">
        <f aca="false">IF(E200="","",IFERROR(INDEX(Unidades!$B$2:$B$218,MATCH(E200,Unidades!$A$2:$A$218,0)),"Código não encontrado"))</f>
        <v/>
      </c>
      <c r="G200" s="12"/>
      <c r="H200" s="11" t="str">
        <f aca="false">IF(A200="","",COUNTIF(Chamados!$J$2:$J$501,A200))</f>
        <v/>
      </c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1" t="str">
        <f aca="false">IF(E201="","",IFERROR(INDEX(Unidades!$B$2:$B$218,MATCH(E201,Unidades!$A$2:$A$218,0)),"Código não encontrado"))</f>
        <v/>
      </c>
      <c r="G201" s="12"/>
      <c r="H201" s="11" t="str">
        <f aca="false">IF(A201="","",COUNTIF(Chamados!$J$2:$J$501,A201))</f>
        <v/>
      </c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1" t="str">
        <f aca="false">IF(E202="","",IFERROR(INDEX(Unidades!$B$2:$B$218,MATCH(E202,Unidades!$A$2:$A$218,0)),"Código não encontrado"))</f>
        <v/>
      </c>
      <c r="G202" s="12"/>
      <c r="H202" s="11" t="str">
        <f aca="false">IF(A202="","",COUNTIF(Chamados!$J$2:$J$501,A202))</f>
        <v/>
      </c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1" t="str">
        <f aca="false">IF(E203="","",IFERROR(INDEX(Unidades!$B$2:$B$218,MATCH(E203,Unidades!$A$2:$A$218,0)),"Código não encontrado"))</f>
        <v/>
      </c>
      <c r="G203" s="12"/>
      <c r="H203" s="11" t="str">
        <f aca="false">IF(A203="","",COUNTIF(Chamados!$J$2:$J$501,A203))</f>
        <v/>
      </c>
    </row>
    <row r="204" customFormat="false" ht="15" hidden="false" customHeight="false" outlineLevel="0" collapsed="false">
      <c r="A204" s="12"/>
      <c r="B204" s="12"/>
      <c r="C204" s="12"/>
      <c r="D204" s="12"/>
      <c r="E204" s="12"/>
      <c r="F204" s="11" t="str">
        <f aca="false">IF(E204="","",IFERROR(INDEX(Unidades!$B$2:$B$218,MATCH(E204,Unidades!$A$2:$A$218,0)),"Código não encontrado"))</f>
        <v/>
      </c>
      <c r="G204" s="12"/>
      <c r="H204" s="11" t="str">
        <f aca="false">IF(A204="","",COUNTIF(Chamados!$J$2:$J$501,A204))</f>
        <v/>
      </c>
    </row>
    <row r="205" customFormat="false" ht="15" hidden="false" customHeight="false" outlineLevel="0" collapsed="false">
      <c r="A205" s="12"/>
      <c r="B205" s="12"/>
      <c r="C205" s="12"/>
      <c r="D205" s="12"/>
      <c r="E205" s="12"/>
      <c r="F205" s="11" t="str">
        <f aca="false">IF(E205="","",IFERROR(INDEX(Unidades!$B$2:$B$218,MATCH(E205,Unidades!$A$2:$A$218,0)),"Código não encontrado"))</f>
        <v/>
      </c>
      <c r="G205" s="12"/>
      <c r="H205" s="11" t="str">
        <f aca="false">IF(A205="","",COUNTIF(Chamados!$J$2:$J$501,A205))</f>
        <v/>
      </c>
    </row>
    <row r="206" customFormat="false" ht="15" hidden="false" customHeight="false" outlineLevel="0" collapsed="false">
      <c r="A206" s="12"/>
      <c r="B206" s="12"/>
      <c r="C206" s="12"/>
      <c r="D206" s="12"/>
      <c r="E206" s="12"/>
      <c r="F206" s="11" t="str">
        <f aca="false">IF(E206="","",IFERROR(INDEX(Unidades!$B$2:$B$218,MATCH(E206,Unidades!$A$2:$A$218,0)),"Código não encontrado"))</f>
        <v/>
      </c>
      <c r="G206" s="12"/>
      <c r="H206" s="11" t="str">
        <f aca="false">IF(A206="","",COUNTIF(Chamados!$J$2:$J$501,A206))</f>
        <v/>
      </c>
    </row>
    <row r="207" customFormat="false" ht="15" hidden="false" customHeight="false" outlineLevel="0" collapsed="false">
      <c r="A207" s="12"/>
      <c r="B207" s="12"/>
      <c r="C207" s="12"/>
      <c r="D207" s="12"/>
      <c r="E207" s="12"/>
      <c r="F207" s="11" t="str">
        <f aca="false">IF(E207="","",IFERROR(INDEX(Unidades!$B$2:$B$218,MATCH(E207,Unidades!$A$2:$A$218,0)),"Código não encontrado"))</f>
        <v/>
      </c>
      <c r="G207" s="12"/>
      <c r="H207" s="11" t="str">
        <f aca="false">IF(A207="","",COUNTIF(Chamados!$J$2:$J$501,A207))</f>
        <v/>
      </c>
    </row>
    <row r="208" customFormat="false" ht="15" hidden="false" customHeight="false" outlineLevel="0" collapsed="false">
      <c r="A208" s="12"/>
      <c r="B208" s="12"/>
      <c r="C208" s="12"/>
      <c r="D208" s="12"/>
      <c r="E208" s="12"/>
      <c r="F208" s="11" t="str">
        <f aca="false">IF(E208="","",IFERROR(INDEX(Unidades!$B$2:$B$218,MATCH(E208,Unidades!$A$2:$A$218,0)),"Código não encontrado"))</f>
        <v/>
      </c>
      <c r="G208" s="12"/>
      <c r="H208" s="11" t="str">
        <f aca="false">IF(A208="","",COUNTIF(Chamados!$J$2:$J$501,A208))</f>
        <v/>
      </c>
    </row>
    <row r="209" customFormat="false" ht="15" hidden="false" customHeight="false" outlineLevel="0" collapsed="false">
      <c r="A209" s="12"/>
      <c r="B209" s="12"/>
      <c r="C209" s="12"/>
      <c r="D209" s="12"/>
      <c r="E209" s="12"/>
      <c r="F209" s="11" t="str">
        <f aca="false">IF(E209="","",IFERROR(INDEX(Unidades!$B$2:$B$218,MATCH(E209,Unidades!$A$2:$A$218,0)),"Código não encontrado"))</f>
        <v/>
      </c>
      <c r="G209" s="12"/>
      <c r="H209" s="11" t="str">
        <f aca="false">IF(A209="","",COUNTIF(Chamados!$J$2:$J$501,A209))</f>
        <v/>
      </c>
    </row>
    <row r="210" customFormat="false" ht="15" hidden="false" customHeight="false" outlineLevel="0" collapsed="false">
      <c r="A210" s="12"/>
      <c r="B210" s="12"/>
      <c r="C210" s="12"/>
      <c r="D210" s="12"/>
      <c r="E210" s="12"/>
      <c r="F210" s="11" t="str">
        <f aca="false">IF(E210="","",IFERROR(INDEX(Unidades!$B$2:$B$218,MATCH(E210,Unidades!$A$2:$A$218,0)),"Código não encontrado"))</f>
        <v/>
      </c>
      <c r="G210" s="12"/>
      <c r="H210" s="11" t="str">
        <f aca="false">IF(A210="","",COUNTIF(Chamados!$J$2:$J$501,A210))</f>
        <v/>
      </c>
    </row>
    <row r="211" customFormat="false" ht="15" hidden="false" customHeight="false" outlineLevel="0" collapsed="false">
      <c r="A211" s="12"/>
      <c r="B211" s="12"/>
      <c r="C211" s="12"/>
      <c r="D211" s="12"/>
      <c r="E211" s="12"/>
      <c r="F211" s="11" t="str">
        <f aca="false">IF(E211="","",IFERROR(INDEX(Unidades!$B$2:$B$218,MATCH(E211,Unidades!$A$2:$A$218,0)),"Código não encontrado"))</f>
        <v/>
      </c>
      <c r="G211" s="12"/>
      <c r="H211" s="11" t="str">
        <f aca="false">IF(A211="","",COUNTIF(Chamados!$J$2:$J$501,A211))</f>
        <v/>
      </c>
    </row>
    <row r="212" customFormat="false" ht="15" hidden="false" customHeight="false" outlineLevel="0" collapsed="false">
      <c r="A212" s="12"/>
      <c r="B212" s="12"/>
      <c r="C212" s="12"/>
      <c r="D212" s="12"/>
      <c r="E212" s="12"/>
      <c r="F212" s="11" t="str">
        <f aca="false">IF(E212="","",IFERROR(INDEX(Unidades!$B$2:$B$218,MATCH(E212,Unidades!$A$2:$A$218,0)),"Código não encontrado"))</f>
        <v/>
      </c>
      <c r="G212" s="12"/>
      <c r="H212" s="11" t="str">
        <f aca="false">IF(A212="","",COUNTIF(Chamados!$J$2:$J$501,A212))</f>
        <v/>
      </c>
    </row>
    <row r="213" customFormat="false" ht="15" hidden="false" customHeight="false" outlineLevel="0" collapsed="false">
      <c r="A213" s="12"/>
      <c r="B213" s="12"/>
      <c r="C213" s="12"/>
      <c r="D213" s="12"/>
      <c r="E213" s="12"/>
      <c r="F213" s="11" t="str">
        <f aca="false">IF(E213="","",IFERROR(INDEX(Unidades!$B$2:$B$218,MATCH(E213,Unidades!$A$2:$A$218,0)),"Código não encontrado"))</f>
        <v/>
      </c>
      <c r="G213" s="12"/>
      <c r="H213" s="11" t="str">
        <f aca="false">IF(A213="","",COUNTIF(Chamados!$J$2:$J$501,A213))</f>
        <v/>
      </c>
    </row>
    <row r="214" customFormat="false" ht="15" hidden="false" customHeight="false" outlineLevel="0" collapsed="false">
      <c r="A214" s="12"/>
      <c r="B214" s="12"/>
      <c r="C214" s="12"/>
      <c r="D214" s="12"/>
      <c r="E214" s="12"/>
      <c r="F214" s="11" t="str">
        <f aca="false">IF(E214="","",IFERROR(INDEX(Unidades!$B$2:$B$218,MATCH(E214,Unidades!$A$2:$A$218,0)),"Código não encontrado"))</f>
        <v/>
      </c>
      <c r="G214" s="12"/>
      <c r="H214" s="11" t="str">
        <f aca="false">IF(A214="","",COUNTIF(Chamados!$J$2:$J$501,A214))</f>
        <v/>
      </c>
    </row>
    <row r="215" customFormat="false" ht="15" hidden="false" customHeight="false" outlineLevel="0" collapsed="false">
      <c r="A215" s="12"/>
      <c r="B215" s="12"/>
      <c r="C215" s="12"/>
      <c r="D215" s="12"/>
      <c r="E215" s="12"/>
      <c r="F215" s="11" t="str">
        <f aca="false">IF(E215="","",IFERROR(INDEX(Unidades!$B$2:$B$218,MATCH(E215,Unidades!$A$2:$A$218,0)),"Código não encontrado"))</f>
        <v/>
      </c>
      <c r="G215" s="12"/>
      <c r="H215" s="11" t="str">
        <f aca="false">IF(A215="","",COUNTIF(Chamados!$J$2:$J$501,A215))</f>
        <v/>
      </c>
    </row>
    <row r="216" customFormat="false" ht="15" hidden="false" customHeight="false" outlineLevel="0" collapsed="false">
      <c r="A216" s="12"/>
      <c r="B216" s="12"/>
      <c r="C216" s="12"/>
      <c r="D216" s="12"/>
      <c r="E216" s="12"/>
      <c r="F216" s="11" t="str">
        <f aca="false">IF(E216="","",IFERROR(INDEX(Unidades!$B$2:$B$218,MATCH(E216,Unidades!$A$2:$A$218,0)),"Código não encontrado"))</f>
        <v/>
      </c>
      <c r="G216" s="12"/>
      <c r="H216" s="11" t="str">
        <f aca="false">IF(A216="","",COUNTIF(Chamados!$J$2:$J$501,A216))</f>
        <v/>
      </c>
    </row>
    <row r="217" customFormat="false" ht="15" hidden="false" customHeight="false" outlineLevel="0" collapsed="false">
      <c r="A217" s="12"/>
      <c r="B217" s="12"/>
      <c r="C217" s="12"/>
      <c r="D217" s="12"/>
      <c r="E217" s="12"/>
      <c r="F217" s="11" t="str">
        <f aca="false">IF(E217="","",IFERROR(INDEX(Unidades!$B$2:$B$218,MATCH(E217,Unidades!$A$2:$A$218,0)),"Código não encontrado"))</f>
        <v/>
      </c>
      <c r="G217" s="12"/>
      <c r="H217" s="11" t="str">
        <f aca="false">IF(A217="","",COUNTIF(Chamados!$J$2:$J$501,A217))</f>
        <v/>
      </c>
    </row>
    <row r="218" customFormat="false" ht="15" hidden="false" customHeight="false" outlineLevel="0" collapsed="false">
      <c r="A218" s="12"/>
      <c r="B218" s="12"/>
      <c r="C218" s="12"/>
      <c r="D218" s="12"/>
      <c r="E218" s="12"/>
      <c r="F218" s="11" t="str">
        <f aca="false">IF(E218="","",IFERROR(INDEX(Unidades!$B$2:$B$218,MATCH(E218,Unidades!$A$2:$A$218,0)),"Código não encontrado"))</f>
        <v/>
      </c>
      <c r="G218" s="12"/>
      <c r="H218" s="11" t="str">
        <f aca="false">IF(A218="","",COUNTIF(Chamados!$J$2:$J$501,A218))</f>
        <v/>
      </c>
    </row>
    <row r="219" customFormat="false" ht="15" hidden="false" customHeight="false" outlineLevel="0" collapsed="false">
      <c r="A219" s="12"/>
      <c r="B219" s="12"/>
      <c r="C219" s="12"/>
      <c r="D219" s="12"/>
      <c r="E219" s="12"/>
      <c r="F219" s="11" t="str">
        <f aca="false">IF(E219="","",IFERROR(INDEX(Unidades!$B$2:$B$218,MATCH(E219,Unidades!$A$2:$A$218,0)),"Código não encontrado"))</f>
        <v/>
      </c>
      <c r="G219" s="12"/>
      <c r="H219" s="11" t="str">
        <f aca="false">IF(A219="","",COUNTIF(Chamados!$J$2:$J$501,A219))</f>
        <v/>
      </c>
    </row>
    <row r="220" customFormat="false" ht="15" hidden="false" customHeight="false" outlineLevel="0" collapsed="false">
      <c r="A220" s="12"/>
      <c r="B220" s="12"/>
      <c r="C220" s="12"/>
      <c r="D220" s="12"/>
      <c r="E220" s="12"/>
      <c r="F220" s="11" t="str">
        <f aca="false">IF(E220="","",IFERROR(INDEX(Unidades!$B$2:$B$218,MATCH(E220,Unidades!$A$2:$A$218,0)),"Código não encontrado"))</f>
        <v/>
      </c>
      <c r="G220" s="12"/>
      <c r="H220" s="11" t="str">
        <f aca="false">IF(A220="","",COUNTIF(Chamados!$J$2:$J$501,A220))</f>
        <v/>
      </c>
    </row>
    <row r="221" customFormat="false" ht="15" hidden="false" customHeight="false" outlineLevel="0" collapsed="false">
      <c r="A221" s="12"/>
      <c r="B221" s="12"/>
      <c r="C221" s="12"/>
      <c r="D221" s="12"/>
      <c r="E221" s="12"/>
      <c r="F221" s="11" t="str">
        <f aca="false">IF(E221="","",IFERROR(INDEX(Unidades!$B$2:$B$218,MATCH(E221,Unidades!$A$2:$A$218,0)),"Código não encontrado"))</f>
        <v/>
      </c>
      <c r="G221" s="12"/>
      <c r="H221" s="11" t="str">
        <f aca="false">IF(A221="","",COUNTIF(Chamados!$J$2:$J$501,A221))</f>
        <v/>
      </c>
    </row>
    <row r="222" customFormat="false" ht="15" hidden="false" customHeight="false" outlineLevel="0" collapsed="false">
      <c r="A222" s="12"/>
      <c r="B222" s="12"/>
      <c r="C222" s="12"/>
      <c r="D222" s="12"/>
      <c r="E222" s="12"/>
      <c r="F222" s="11" t="str">
        <f aca="false">IF(E222="","",IFERROR(INDEX(Unidades!$B$2:$B$218,MATCH(E222,Unidades!$A$2:$A$218,0)),"Código não encontrado"))</f>
        <v/>
      </c>
      <c r="G222" s="12"/>
      <c r="H222" s="11" t="str">
        <f aca="false">IF(A222="","",COUNTIF(Chamados!$J$2:$J$501,A222))</f>
        <v/>
      </c>
    </row>
    <row r="223" customFormat="false" ht="15" hidden="false" customHeight="false" outlineLevel="0" collapsed="false">
      <c r="A223" s="12"/>
      <c r="B223" s="12"/>
      <c r="C223" s="12"/>
      <c r="D223" s="12"/>
      <c r="E223" s="12"/>
      <c r="F223" s="11" t="str">
        <f aca="false">IF(E223="","",IFERROR(INDEX(Unidades!$B$2:$B$218,MATCH(E223,Unidades!$A$2:$A$218,0)),"Código não encontrado"))</f>
        <v/>
      </c>
      <c r="G223" s="12"/>
      <c r="H223" s="11" t="str">
        <f aca="false">IF(A223="","",COUNTIF(Chamados!$J$2:$J$501,A223))</f>
        <v/>
      </c>
    </row>
    <row r="224" customFormat="false" ht="15" hidden="false" customHeight="false" outlineLevel="0" collapsed="false">
      <c r="A224" s="12"/>
      <c r="B224" s="12"/>
      <c r="C224" s="12"/>
      <c r="D224" s="12"/>
      <c r="E224" s="12"/>
      <c r="F224" s="11" t="str">
        <f aca="false">IF(E224="","",IFERROR(INDEX(Unidades!$B$2:$B$218,MATCH(E224,Unidades!$A$2:$A$218,0)),"Código não encontrado"))</f>
        <v/>
      </c>
      <c r="G224" s="12"/>
      <c r="H224" s="11" t="str">
        <f aca="false">IF(A224="","",COUNTIF(Chamados!$J$2:$J$501,A224))</f>
        <v/>
      </c>
    </row>
    <row r="225" customFormat="false" ht="15" hidden="false" customHeight="false" outlineLevel="0" collapsed="false">
      <c r="A225" s="12"/>
      <c r="B225" s="12"/>
      <c r="C225" s="12"/>
      <c r="D225" s="12"/>
      <c r="E225" s="12"/>
      <c r="F225" s="11" t="str">
        <f aca="false">IF(E225="","",IFERROR(INDEX(Unidades!$B$2:$B$218,MATCH(E225,Unidades!$A$2:$A$218,0)),"Código não encontrado"))</f>
        <v/>
      </c>
      <c r="G225" s="12"/>
      <c r="H225" s="11" t="str">
        <f aca="false">IF(A225="","",COUNTIF(Chamados!$J$2:$J$501,A225))</f>
        <v/>
      </c>
    </row>
    <row r="226" customFormat="false" ht="15" hidden="false" customHeight="false" outlineLevel="0" collapsed="false">
      <c r="A226" s="12"/>
      <c r="B226" s="12"/>
      <c r="C226" s="12"/>
      <c r="D226" s="12"/>
      <c r="E226" s="12"/>
      <c r="F226" s="11" t="str">
        <f aca="false">IF(E226="","",IFERROR(INDEX(Unidades!$B$2:$B$218,MATCH(E226,Unidades!$A$2:$A$218,0)),"Código não encontrado"))</f>
        <v/>
      </c>
      <c r="G226" s="12"/>
      <c r="H226" s="11" t="str">
        <f aca="false">IF(A226="","",COUNTIF(Chamados!$J$2:$J$501,A226))</f>
        <v/>
      </c>
    </row>
    <row r="227" customFormat="false" ht="15" hidden="false" customHeight="false" outlineLevel="0" collapsed="false">
      <c r="A227" s="12"/>
      <c r="B227" s="12"/>
      <c r="C227" s="12"/>
      <c r="D227" s="12"/>
      <c r="E227" s="12"/>
      <c r="F227" s="11" t="str">
        <f aca="false">IF(E227="","",IFERROR(INDEX(Unidades!$B$2:$B$218,MATCH(E227,Unidades!$A$2:$A$218,0)),"Código não encontrado"))</f>
        <v/>
      </c>
      <c r="G227" s="12"/>
      <c r="H227" s="11" t="str">
        <f aca="false">IF(A227="","",COUNTIF(Chamados!$J$2:$J$501,A227))</f>
        <v/>
      </c>
    </row>
    <row r="228" customFormat="false" ht="15" hidden="false" customHeight="false" outlineLevel="0" collapsed="false">
      <c r="A228" s="12"/>
      <c r="B228" s="12"/>
      <c r="C228" s="12"/>
      <c r="D228" s="12"/>
      <c r="E228" s="12"/>
      <c r="F228" s="11" t="str">
        <f aca="false">IF(E228="","",IFERROR(INDEX(Unidades!$B$2:$B$218,MATCH(E228,Unidades!$A$2:$A$218,0)),"Código não encontrado"))</f>
        <v/>
      </c>
      <c r="G228" s="12"/>
      <c r="H228" s="11" t="str">
        <f aca="false">IF(A228="","",COUNTIF(Chamados!$J$2:$J$501,A228))</f>
        <v/>
      </c>
    </row>
    <row r="229" customFormat="false" ht="15" hidden="false" customHeight="false" outlineLevel="0" collapsed="false">
      <c r="A229" s="12"/>
      <c r="B229" s="12"/>
      <c r="C229" s="12"/>
      <c r="D229" s="12"/>
      <c r="E229" s="12"/>
      <c r="F229" s="11" t="str">
        <f aca="false">IF(E229="","",IFERROR(INDEX(Unidades!$B$2:$B$218,MATCH(E229,Unidades!$A$2:$A$218,0)),"Código não encontrado"))</f>
        <v/>
      </c>
      <c r="G229" s="12"/>
      <c r="H229" s="11" t="str">
        <f aca="false">IF(A229="","",COUNTIF(Chamados!$J$2:$J$501,A229))</f>
        <v/>
      </c>
    </row>
    <row r="230" customFormat="false" ht="15" hidden="false" customHeight="false" outlineLevel="0" collapsed="false">
      <c r="A230" s="12"/>
      <c r="B230" s="12"/>
      <c r="C230" s="12"/>
      <c r="D230" s="12"/>
      <c r="E230" s="12"/>
      <c r="F230" s="11" t="str">
        <f aca="false">IF(E230="","",IFERROR(INDEX(Unidades!$B$2:$B$218,MATCH(E230,Unidades!$A$2:$A$218,0)),"Código não encontrado"))</f>
        <v/>
      </c>
      <c r="G230" s="12"/>
      <c r="H230" s="11" t="str">
        <f aca="false">IF(A230="","",COUNTIF(Chamados!$J$2:$J$501,A230))</f>
        <v/>
      </c>
    </row>
    <row r="231" customFormat="false" ht="15" hidden="false" customHeight="false" outlineLevel="0" collapsed="false">
      <c r="A231" s="12"/>
      <c r="B231" s="12"/>
      <c r="C231" s="12"/>
      <c r="D231" s="12"/>
      <c r="E231" s="12"/>
      <c r="F231" s="11" t="str">
        <f aca="false">IF(E231="","",IFERROR(INDEX(Unidades!$B$2:$B$218,MATCH(E231,Unidades!$A$2:$A$218,0)),"Código não encontrado"))</f>
        <v/>
      </c>
      <c r="G231" s="12"/>
      <c r="H231" s="11" t="str">
        <f aca="false">IF(A231="","",COUNTIF(Chamados!$J$2:$J$501,A231))</f>
        <v/>
      </c>
    </row>
    <row r="232" customFormat="false" ht="15" hidden="false" customHeight="false" outlineLevel="0" collapsed="false">
      <c r="A232" s="12"/>
      <c r="B232" s="12"/>
      <c r="C232" s="12"/>
      <c r="D232" s="12"/>
      <c r="E232" s="12"/>
      <c r="F232" s="11" t="str">
        <f aca="false">IF(E232="","",IFERROR(INDEX(Unidades!$B$2:$B$218,MATCH(E232,Unidades!$A$2:$A$218,0)),"Código não encontrado"))</f>
        <v/>
      </c>
      <c r="G232" s="12"/>
      <c r="H232" s="11" t="str">
        <f aca="false">IF(A232="","",COUNTIF(Chamados!$J$2:$J$501,A232))</f>
        <v/>
      </c>
    </row>
    <row r="233" customFormat="false" ht="15" hidden="false" customHeight="false" outlineLevel="0" collapsed="false">
      <c r="A233" s="12"/>
      <c r="B233" s="12"/>
      <c r="C233" s="12"/>
      <c r="D233" s="12"/>
      <c r="E233" s="12"/>
      <c r="F233" s="11" t="str">
        <f aca="false">IF(E233="","",IFERROR(INDEX(Unidades!$B$2:$B$218,MATCH(E233,Unidades!$A$2:$A$218,0)),"Código não encontrado"))</f>
        <v/>
      </c>
      <c r="G233" s="12"/>
      <c r="H233" s="11" t="str">
        <f aca="false">IF(A233="","",COUNTIF(Chamados!$J$2:$J$501,A233))</f>
        <v/>
      </c>
    </row>
    <row r="234" customFormat="false" ht="15" hidden="false" customHeight="false" outlineLevel="0" collapsed="false">
      <c r="A234" s="12"/>
      <c r="B234" s="12"/>
      <c r="C234" s="12"/>
      <c r="D234" s="12"/>
      <c r="E234" s="12"/>
      <c r="F234" s="11" t="str">
        <f aca="false">IF(E234="","",IFERROR(INDEX(Unidades!$B$2:$B$218,MATCH(E234,Unidades!$A$2:$A$218,0)),"Código não encontrado"))</f>
        <v/>
      </c>
      <c r="G234" s="12"/>
      <c r="H234" s="11" t="str">
        <f aca="false">IF(A234="","",COUNTIF(Chamados!$J$2:$J$501,A234))</f>
        <v/>
      </c>
    </row>
    <row r="235" customFormat="false" ht="15" hidden="false" customHeight="false" outlineLevel="0" collapsed="false">
      <c r="A235" s="12"/>
      <c r="B235" s="12"/>
      <c r="C235" s="12"/>
      <c r="D235" s="12"/>
      <c r="E235" s="12"/>
      <c r="F235" s="11" t="str">
        <f aca="false">IF(E235="","",IFERROR(INDEX(Unidades!$B$2:$B$218,MATCH(E235,Unidades!$A$2:$A$218,0)),"Código não encontrado"))</f>
        <v/>
      </c>
      <c r="G235" s="12"/>
      <c r="H235" s="11" t="str">
        <f aca="false">IF(A235="","",COUNTIF(Chamados!$J$2:$J$501,A235))</f>
        <v/>
      </c>
    </row>
    <row r="236" customFormat="false" ht="15" hidden="false" customHeight="false" outlineLevel="0" collapsed="false">
      <c r="A236" s="12"/>
      <c r="B236" s="12"/>
      <c r="C236" s="12"/>
      <c r="D236" s="12"/>
      <c r="E236" s="12"/>
      <c r="F236" s="11" t="str">
        <f aca="false">IF(E236="","",IFERROR(INDEX(Unidades!$B$2:$B$218,MATCH(E236,Unidades!$A$2:$A$218,0)),"Código não encontrado"))</f>
        <v/>
      </c>
      <c r="G236" s="12"/>
      <c r="H236" s="11" t="str">
        <f aca="false">IF(A236="","",COUNTIF(Chamados!$J$2:$J$501,A236))</f>
        <v/>
      </c>
    </row>
    <row r="237" customFormat="false" ht="15" hidden="false" customHeight="false" outlineLevel="0" collapsed="false">
      <c r="A237" s="12"/>
      <c r="B237" s="12"/>
      <c r="C237" s="12"/>
      <c r="D237" s="12"/>
      <c r="E237" s="12"/>
      <c r="F237" s="11" t="str">
        <f aca="false">IF(E237="","",IFERROR(INDEX(Unidades!$B$2:$B$218,MATCH(E237,Unidades!$A$2:$A$218,0)),"Código não encontrado"))</f>
        <v/>
      </c>
      <c r="G237" s="12"/>
      <c r="H237" s="11" t="str">
        <f aca="false">IF(A237="","",COUNTIF(Chamados!$J$2:$J$501,A237))</f>
        <v/>
      </c>
    </row>
    <row r="238" customFormat="false" ht="15" hidden="false" customHeight="false" outlineLevel="0" collapsed="false">
      <c r="A238" s="12"/>
      <c r="B238" s="12"/>
      <c r="C238" s="12"/>
      <c r="D238" s="12"/>
      <c r="E238" s="12"/>
      <c r="F238" s="11" t="str">
        <f aca="false">IF(E238="","",IFERROR(INDEX(Unidades!$B$2:$B$218,MATCH(E238,Unidades!$A$2:$A$218,0)),"Código não encontrado"))</f>
        <v/>
      </c>
      <c r="G238" s="12"/>
      <c r="H238" s="11" t="str">
        <f aca="false">IF(A238="","",COUNTIF(Chamados!$J$2:$J$501,A238))</f>
        <v/>
      </c>
    </row>
    <row r="239" customFormat="false" ht="15" hidden="false" customHeight="false" outlineLevel="0" collapsed="false">
      <c r="A239" s="12"/>
      <c r="B239" s="12"/>
      <c r="C239" s="12"/>
      <c r="D239" s="12"/>
      <c r="E239" s="12"/>
      <c r="F239" s="11" t="str">
        <f aca="false">IF(E239="","",IFERROR(INDEX(Unidades!$B$2:$B$218,MATCH(E239,Unidades!$A$2:$A$218,0)),"Código não encontrado"))</f>
        <v/>
      </c>
      <c r="G239" s="12"/>
      <c r="H239" s="11" t="str">
        <f aca="false">IF(A239="","",COUNTIF(Chamados!$J$2:$J$501,A239))</f>
        <v/>
      </c>
    </row>
    <row r="240" customFormat="false" ht="15" hidden="false" customHeight="false" outlineLevel="0" collapsed="false">
      <c r="A240" s="12"/>
      <c r="B240" s="12"/>
      <c r="C240" s="12"/>
      <c r="D240" s="12"/>
      <c r="E240" s="12"/>
      <c r="F240" s="11" t="str">
        <f aca="false">IF(E240="","",IFERROR(INDEX(Unidades!$B$2:$B$218,MATCH(E240,Unidades!$A$2:$A$218,0)),"Código não encontrado"))</f>
        <v/>
      </c>
      <c r="G240" s="12"/>
      <c r="H240" s="11" t="str">
        <f aca="false">IF(A240="","",COUNTIF(Chamados!$J$2:$J$501,A240))</f>
        <v/>
      </c>
    </row>
    <row r="241" customFormat="false" ht="15" hidden="false" customHeight="false" outlineLevel="0" collapsed="false">
      <c r="A241" s="12"/>
      <c r="B241" s="12"/>
      <c r="C241" s="12"/>
      <c r="D241" s="12"/>
      <c r="E241" s="12"/>
      <c r="F241" s="11" t="str">
        <f aca="false">IF(E241="","",IFERROR(INDEX(Unidades!$B$2:$B$218,MATCH(E241,Unidades!$A$2:$A$218,0)),"Código não encontrado"))</f>
        <v/>
      </c>
      <c r="G241" s="12"/>
      <c r="H241" s="11" t="str">
        <f aca="false">IF(A241="","",COUNTIF(Chamados!$J$2:$J$501,A241))</f>
        <v/>
      </c>
    </row>
    <row r="242" customFormat="false" ht="15" hidden="false" customHeight="false" outlineLevel="0" collapsed="false">
      <c r="A242" s="12"/>
      <c r="B242" s="12"/>
      <c r="C242" s="12"/>
      <c r="D242" s="12"/>
      <c r="E242" s="12"/>
      <c r="F242" s="11" t="str">
        <f aca="false">IF(E242="","",IFERROR(INDEX(Unidades!$B$2:$B$218,MATCH(E242,Unidades!$A$2:$A$218,0)),"Código não encontrado"))</f>
        <v/>
      </c>
      <c r="G242" s="12"/>
      <c r="H242" s="11" t="str">
        <f aca="false">IF(A242="","",COUNTIF(Chamados!$J$2:$J$501,A242))</f>
        <v/>
      </c>
    </row>
    <row r="243" customFormat="false" ht="15" hidden="false" customHeight="false" outlineLevel="0" collapsed="false">
      <c r="A243" s="12"/>
      <c r="B243" s="12"/>
      <c r="C243" s="12"/>
      <c r="D243" s="12"/>
      <c r="E243" s="12"/>
      <c r="F243" s="11" t="str">
        <f aca="false">IF(E243="","",IFERROR(INDEX(Unidades!$B$2:$B$218,MATCH(E243,Unidades!$A$2:$A$218,0)),"Código não encontrado"))</f>
        <v/>
      </c>
      <c r="G243" s="12"/>
      <c r="H243" s="11" t="str">
        <f aca="false">IF(A243="","",COUNTIF(Chamados!$J$2:$J$501,A243))</f>
        <v/>
      </c>
    </row>
    <row r="244" customFormat="false" ht="15" hidden="false" customHeight="false" outlineLevel="0" collapsed="false">
      <c r="A244" s="12"/>
      <c r="B244" s="12"/>
      <c r="C244" s="12"/>
      <c r="D244" s="12"/>
      <c r="E244" s="12"/>
      <c r="F244" s="11" t="str">
        <f aca="false">IF(E244="","",IFERROR(INDEX(Unidades!$B$2:$B$218,MATCH(E244,Unidades!$A$2:$A$218,0)),"Código não encontrado"))</f>
        <v/>
      </c>
      <c r="G244" s="12"/>
      <c r="H244" s="11" t="str">
        <f aca="false">IF(A244="","",COUNTIF(Chamados!$J$2:$J$501,A244))</f>
        <v/>
      </c>
    </row>
    <row r="245" customFormat="false" ht="15" hidden="false" customHeight="false" outlineLevel="0" collapsed="false">
      <c r="A245" s="12"/>
      <c r="B245" s="12"/>
      <c r="C245" s="12"/>
      <c r="D245" s="12"/>
      <c r="E245" s="12"/>
      <c r="F245" s="11" t="str">
        <f aca="false">IF(E245="","",IFERROR(INDEX(Unidades!$B$2:$B$218,MATCH(E245,Unidades!$A$2:$A$218,0)),"Código não encontrado"))</f>
        <v/>
      </c>
      <c r="G245" s="12"/>
      <c r="H245" s="11" t="str">
        <f aca="false">IF(A245="","",COUNTIF(Chamados!$J$2:$J$501,A245))</f>
        <v/>
      </c>
    </row>
    <row r="246" customFormat="false" ht="15" hidden="false" customHeight="false" outlineLevel="0" collapsed="false">
      <c r="A246" s="12"/>
      <c r="B246" s="12"/>
      <c r="C246" s="12"/>
      <c r="D246" s="12"/>
      <c r="E246" s="12"/>
      <c r="F246" s="11" t="str">
        <f aca="false">IF(E246="","",IFERROR(INDEX(Unidades!$B$2:$B$218,MATCH(E246,Unidades!$A$2:$A$218,0)),"Código não encontrado"))</f>
        <v/>
      </c>
      <c r="G246" s="12"/>
      <c r="H246" s="11" t="str">
        <f aca="false">IF(A246="","",COUNTIF(Chamados!$J$2:$J$501,A246))</f>
        <v/>
      </c>
    </row>
    <row r="247" customFormat="false" ht="15" hidden="false" customHeight="false" outlineLevel="0" collapsed="false">
      <c r="A247" s="12"/>
      <c r="B247" s="12"/>
      <c r="C247" s="12"/>
      <c r="D247" s="12"/>
      <c r="E247" s="12"/>
      <c r="F247" s="11" t="str">
        <f aca="false">IF(E247="","",IFERROR(INDEX(Unidades!$B$2:$B$218,MATCH(E247,Unidades!$A$2:$A$218,0)),"Código não encontrado"))</f>
        <v/>
      </c>
      <c r="G247" s="12"/>
      <c r="H247" s="11" t="str">
        <f aca="false">IF(A247="","",COUNTIF(Chamados!$J$2:$J$501,A247))</f>
        <v/>
      </c>
    </row>
    <row r="248" customFormat="false" ht="15" hidden="false" customHeight="false" outlineLevel="0" collapsed="false">
      <c r="A248" s="12"/>
      <c r="B248" s="12"/>
      <c r="C248" s="12"/>
      <c r="D248" s="12"/>
      <c r="E248" s="12"/>
      <c r="F248" s="11" t="str">
        <f aca="false">IF(E248="","",IFERROR(INDEX(Unidades!$B$2:$B$218,MATCH(E248,Unidades!$A$2:$A$218,0)),"Código não encontrado"))</f>
        <v/>
      </c>
      <c r="G248" s="12"/>
      <c r="H248" s="11" t="str">
        <f aca="false">IF(A248="","",COUNTIF(Chamados!$J$2:$J$501,A248))</f>
        <v/>
      </c>
    </row>
    <row r="249" customFormat="false" ht="15" hidden="false" customHeight="false" outlineLevel="0" collapsed="false">
      <c r="A249" s="12"/>
      <c r="B249" s="12"/>
      <c r="C249" s="12"/>
      <c r="D249" s="12"/>
      <c r="E249" s="12"/>
      <c r="F249" s="11" t="str">
        <f aca="false">IF(E249="","",IFERROR(INDEX(Unidades!$B$2:$B$218,MATCH(E249,Unidades!$A$2:$A$218,0)),"Código não encontrado"))</f>
        <v/>
      </c>
      <c r="G249" s="12"/>
      <c r="H249" s="11" t="str">
        <f aca="false">IF(A249="","",COUNTIF(Chamados!$J$2:$J$501,A249))</f>
        <v/>
      </c>
    </row>
    <row r="250" customFormat="false" ht="15" hidden="false" customHeight="false" outlineLevel="0" collapsed="false">
      <c r="A250" s="12"/>
      <c r="B250" s="12"/>
      <c r="C250" s="12"/>
      <c r="D250" s="12"/>
      <c r="E250" s="12"/>
      <c r="F250" s="11" t="str">
        <f aca="false">IF(E250="","",IFERROR(INDEX(Unidades!$B$2:$B$218,MATCH(E250,Unidades!$A$2:$A$218,0)),"Código não encontrado"))</f>
        <v/>
      </c>
      <c r="G250" s="12"/>
      <c r="H250" s="11" t="str">
        <f aca="false">IF(A250="","",COUNTIF(Chamados!$J$2:$J$501,A250))</f>
        <v/>
      </c>
    </row>
    <row r="251" customFormat="false" ht="15" hidden="false" customHeight="false" outlineLevel="0" collapsed="false">
      <c r="A251" s="12"/>
      <c r="B251" s="12"/>
      <c r="C251" s="12"/>
      <c r="D251" s="12"/>
      <c r="E251" s="12"/>
      <c r="F251" s="11" t="str">
        <f aca="false">IF(E251="","",IFERROR(INDEX(Unidades!$B$2:$B$218,MATCH(E251,Unidades!$A$2:$A$218,0)),"Código não encontrado"))</f>
        <v/>
      </c>
      <c r="G251" s="12"/>
      <c r="H251" s="11" t="str">
        <f aca="false">IF(A251="","",COUNTIF(Chamados!$J$2:$J$501,A251))</f>
        <v/>
      </c>
    </row>
    <row r="252" customFormat="false" ht="15" hidden="false" customHeight="false" outlineLevel="0" collapsed="false">
      <c r="A252" s="12"/>
      <c r="B252" s="12"/>
      <c r="C252" s="12"/>
      <c r="D252" s="12"/>
      <c r="E252" s="12"/>
      <c r="F252" s="11" t="str">
        <f aca="false">IF(E252="","",IFERROR(INDEX(Unidades!$B$2:$B$218,MATCH(E252,Unidades!$A$2:$A$218,0)),"Código não encontrado"))</f>
        <v/>
      </c>
      <c r="G252" s="12"/>
      <c r="H252" s="11" t="str">
        <f aca="false">IF(A252="","",COUNTIF(Chamados!$J$2:$J$501,A252))</f>
        <v/>
      </c>
    </row>
    <row r="253" customFormat="false" ht="15" hidden="false" customHeight="false" outlineLevel="0" collapsed="false">
      <c r="A253" s="12"/>
      <c r="B253" s="12"/>
      <c r="C253" s="12"/>
      <c r="D253" s="12"/>
      <c r="E253" s="12"/>
      <c r="F253" s="11" t="str">
        <f aca="false">IF(E253="","",IFERROR(INDEX(Unidades!$B$2:$B$218,MATCH(E253,Unidades!$A$2:$A$218,0)),"Código não encontrado"))</f>
        <v/>
      </c>
      <c r="G253" s="12"/>
      <c r="H253" s="11" t="str">
        <f aca="false">IF(A253="","",COUNTIF(Chamados!$J$2:$J$501,A253))</f>
        <v/>
      </c>
    </row>
    <row r="254" customFormat="false" ht="15" hidden="false" customHeight="false" outlineLevel="0" collapsed="false">
      <c r="A254" s="12"/>
      <c r="B254" s="12"/>
      <c r="C254" s="12"/>
      <c r="D254" s="12"/>
      <c r="E254" s="12"/>
      <c r="F254" s="11" t="str">
        <f aca="false">IF(E254="","",IFERROR(INDEX(Unidades!$B$2:$B$218,MATCH(E254,Unidades!$A$2:$A$218,0)),"Código não encontrado"))</f>
        <v/>
      </c>
      <c r="G254" s="12"/>
      <c r="H254" s="11" t="str">
        <f aca="false">IF(A254="","",COUNTIF(Chamados!$J$2:$J$501,A254))</f>
        <v/>
      </c>
    </row>
    <row r="255" customFormat="false" ht="15" hidden="false" customHeight="false" outlineLevel="0" collapsed="false">
      <c r="A255" s="12"/>
      <c r="B255" s="12"/>
      <c r="C255" s="12"/>
      <c r="D255" s="12"/>
      <c r="E255" s="12"/>
      <c r="F255" s="11" t="str">
        <f aca="false">IF(E255="","",IFERROR(INDEX(Unidades!$B$2:$B$218,MATCH(E255,Unidades!$A$2:$A$218,0)),"Código não encontrado"))</f>
        <v/>
      </c>
      <c r="G255" s="12"/>
      <c r="H255" s="11" t="str">
        <f aca="false">IF(A255="","",COUNTIF(Chamados!$J$2:$J$501,A255))</f>
        <v/>
      </c>
    </row>
    <row r="256" customFormat="false" ht="15" hidden="false" customHeight="false" outlineLevel="0" collapsed="false">
      <c r="A256" s="12"/>
      <c r="B256" s="12"/>
      <c r="C256" s="12"/>
      <c r="D256" s="12"/>
      <c r="E256" s="12"/>
      <c r="F256" s="11" t="str">
        <f aca="false">IF(E256="","",IFERROR(INDEX(Unidades!$B$2:$B$218,MATCH(E256,Unidades!$A$2:$A$218,0)),"Código não encontrado"))</f>
        <v/>
      </c>
      <c r="G256" s="12"/>
      <c r="H256" s="11" t="str">
        <f aca="false">IF(A256="","",COUNTIF(Chamados!$J$2:$J$501,A256))</f>
        <v/>
      </c>
    </row>
    <row r="257" customFormat="false" ht="15" hidden="false" customHeight="false" outlineLevel="0" collapsed="false">
      <c r="A257" s="12"/>
      <c r="B257" s="12"/>
      <c r="C257" s="12"/>
      <c r="D257" s="12"/>
      <c r="E257" s="12"/>
      <c r="F257" s="11" t="str">
        <f aca="false">IF(E257="","",IFERROR(INDEX(Unidades!$B$2:$B$218,MATCH(E257,Unidades!$A$2:$A$218,0)),"Código não encontrado"))</f>
        <v/>
      </c>
      <c r="G257" s="12"/>
      <c r="H257" s="11" t="str">
        <f aca="false">IF(A257="","",COUNTIF(Chamados!$J$2:$J$501,A257))</f>
        <v/>
      </c>
    </row>
    <row r="258" customFormat="false" ht="15" hidden="false" customHeight="false" outlineLevel="0" collapsed="false">
      <c r="A258" s="12"/>
      <c r="B258" s="12"/>
      <c r="C258" s="12"/>
      <c r="D258" s="12"/>
      <c r="E258" s="12"/>
      <c r="F258" s="11" t="str">
        <f aca="false">IF(E258="","",IFERROR(INDEX(Unidades!$B$2:$B$218,MATCH(E258,Unidades!$A$2:$A$218,0)),"Código não encontrado"))</f>
        <v/>
      </c>
      <c r="G258" s="12"/>
      <c r="H258" s="11" t="str">
        <f aca="false">IF(A258="","",COUNTIF(Chamados!$J$2:$J$501,A258))</f>
        <v/>
      </c>
    </row>
    <row r="259" customFormat="false" ht="15" hidden="false" customHeight="false" outlineLevel="0" collapsed="false">
      <c r="A259" s="12"/>
      <c r="B259" s="12"/>
      <c r="C259" s="12"/>
      <c r="D259" s="12"/>
      <c r="E259" s="12"/>
      <c r="F259" s="11" t="str">
        <f aca="false">IF(E259="","",IFERROR(INDEX(Unidades!$B$2:$B$218,MATCH(E259,Unidades!$A$2:$A$218,0)),"Código não encontrado"))</f>
        <v/>
      </c>
      <c r="G259" s="12"/>
      <c r="H259" s="11" t="str">
        <f aca="false">IF(A259="","",COUNTIF(Chamados!$J$2:$J$501,A259))</f>
        <v/>
      </c>
    </row>
    <row r="260" customFormat="false" ht="15" hidden="false" customHeight="false" outlineLevel="0" collapsed="false">
      <c r="A260" s="12"/>
      <c r="B260" s="12"/>
      <c r="C260" s="12"/>
      <c r="D260" s="12"/>
      <c r="E260" s="12"/>
      <c r="F260" s="11" t="str">
        <f aca="false">IF(E260="","",IFERROR(INDEX(Unidades!$B$2:$B$218,MATCH(E260,Unidades!$A$2:$A$218,0)),"Código não encontrado"))</f>
        <v/>
      </c>
      <c r="G260" s="12"/>
      <c r="H260" s="11" t="str">
        <f aca="false">IF(A260="","",COUNTIF(Chamados!$J$2:$J$501,A260))</f>
        <v/>
      </c>
    </row>
    <row r="261" customFormat="false" ht="15" hidden="false" customHeight="false" outlineLevel="0" collapsed="false">
      <c r="A261" s="12"/>
      <c r="B261" s="12"/>
      <c r="C261" s="12"/>
      <c r="D261" s="12"/>
      <c r="E261" s="12"/>
      <c r="F261" s="11" t="str">
        <f aca="false">IF(E261="","",IFERROR(INDEX(Unidades!$B$2:$B$218,MATCH(E261,Unidades!$A$2:$A$218,0)),"Código não encontrado"))</f>
        <v/>
      </c>
      <c r="G261" s="12"/>
      <c r="H261" s="11" t="str">
        <f aca="false">IF(A261="","",COUNTIF(Chamados!$J$2:$J$501,A261))</f>
        <v/>
      </c>
    </row>
    <row r="262" customFormat="false" ht="15" hidden="false" customHeight="false" outlineLevel="0" collapsed="false">
      <c r="A262" s="12"/>
      <c r="B262" s="12"/>
      <c r="C262" s="12"/>
      <c r="D262" s="12"/>
      <c r="E262" s="12"/>
      <c r="F262" s="11" t="str">
        <f aca="false">IF(E262="","",IFERROR(INDEX(Unidades!$B$2:$B$218,MATCH(E262,Unidades!$A$2:$A$218,0)),"Código não encontrado"))</f>
        <v/>
      </c>
      <c r="G262" s="12"/>
      <c r="H262" s="11" t="str">
        <f aca="false">IF(A262="","",COUNTIF(Chamados!$J$2:$J$501,A262))</f>
        <v/>
      </c>
    </row>
    <row r="263" customFormat="false" ht="15" hidden="false" customHeight="false" outlineLevel="0" collapsed="false">
      <c r="A263" s="12"/>
      <c r="B263" s="12"/>
      <c r="C263" s="12"/>
      <c r="D263" s="12"/>
      <c r="E263" s="12"/>
      <c r="F263" s="11" t="str">
        <f aca="false">IF(E263="","",IFERROR(INDEX(Unidades!$B$2:$B$218,MATCH(E263,Unidades!$A$2:$A$218,0)),"Código não encontrado"))</f>
        <v/>
      </c>
      <c r="G263" s="12"/>
      <c r="H263" s="11" t="str">
        <f aca="false">IF(A263="","",COUNTIF(Chamados!$J$2:$J$501,A263))</f>
        <v/>
      </c>
    </row>
    <row r="264" customFormat="false" ht="15" hidden="false" customHeight="false" outlineLevel="0" collapsed="false">
      <c r="A264" s="12"/>
      <c r="B264" s="12"/>
      <c r="C264" s="12"/>
      <c r="D264" s="12"/>
      <c r="E264" s="12"/>
      <c r="F264" s="11" t="str">
        <f aca="false">IF(E264="","",IFERROR(INDEX(Unidades!$B$2:$B$218,MATCH(E264,Unidades!$A$2:$A$218,0)),"Código não encontrado"))</f>
        <v/>
      </c>
      <c r="G264" s="12"/>
      <c r="H264" s="11" t="str">
        <f aca="false">IF(A264="","",COUNTIF(Chamados!$J$2:$J$501,A264))</f>
        <v/>
      </c>
    </row>
    <row r="265" customFormat="false" ht="15" hidden="false" customHeight="false" outlineLevel="0" collapsed="false">
      <c r="A265" s="12"/>
      <c r="B265" s="12"/>
      <c r="C265" s="12"/>
      <c r="D265" s="12"/>
      <c r="E265" s="12"/>
      <c r="F265" s="11" t="str">
        <f aca="false">IF(E265="","",IFERROR(INDEX(Unidades!$B$2:$B$218,MATCH(E265,Unidades!$A$2:$A$218,0)),"Código não encontrado"))</f>
        <v/>
      </c>
      <c r="G265" s="12"/>
      <c r="H265" s="11" t="str">
        <f aca="false">IF(A265="","",COUNTIF(Chamados!$J$2:$J$501,A265))</f>
        <v/>
      </c>
    </row>
    <row r="266" customFormat="false" ht="15" hidden="false" customHeight="false" outlineLevel="0" collapsed="false">
      <c r="A266" s="12"/>
      <c r="B266" s="12"/>
      <c r="C266" s="12"/>
      <c r="D266" s="12"/>
      <c r="E266" s="12"/>
      <c r="F266" s="11" t="str">
        <f aca="false">IF(E266="","",IFERROR(INDEX(Unidades!$B$2:$B$218,MATCH(E266,Unidades!$A$2:$A$218,0)),"Código não encontrado"))</f>
        <v/>
      </c>
      <c r="G266" s="12"/>
      <c r="H266" s="11" t="str">
        <f aca="false">IF(A266="","",COUNTIF(Chamados!$J$2:$J$501,A266))</f>
        <v/>
      </c>
    </row>
    <row r="267" customFormat="false" ht="15" hidden="false" customHeight="false" outlineLevel="0" collapsed="false">
      <c r="A267" s="12"/>
      <c r="B267" s="12"/>
      <c r="C267" s="12"/>
      <c r="D267" s="12"/>
      <c r="E267" s="12"/>
      <c r="F267" s="11" t="str">
        <f aca="false">IF(E267="","",IFERROR(INDEX(Unidades!$B$2:$B$218,MATCH(E267,Unidades!$A$2:$A$218,0)),"Código não encontrado"))</f>
        <v/>
      </c>
      <c r="G267" s="12"/>
      <c r="H267" s="11" t="str">
        <f aca="false">IF(A267="","",COUNTIF(Chamados!$J$2:$J$501,A267))</f>
        <v/>
      </c>
    </row>
    <row r="268" customFormat="false" ht="15" hidden="false" customHeight="false" outlineLevel="0" collapsed="false">
      <c r="A268" s="12"/>
      <c r="B268" s="12"/>
      <c r="C268" s="12"/>
      <c r="D268" s="12"/>
      <c r="E268" s="12"/>
      <c r="F268" s="11" t="str">
        <f aca="false">IF(E268="","",IFERROR(INDEX(Unidades!$B$2:$B$218,MATCH(E268,Unidades!$A$2:$A$218,0)),"Código não encontrado"))</f>
        <v/>
      </c>
      <c r="G268" s="12"/>
      <c r="H268" s="11" t="str">
        <f aca="false">IF(A268="","",COUNTIF(Chamados!$J$2:$J$501,A268))</f>
        <v/>
      </c>
    </row>
    <row r="269" customFormat="false" ht="15" hidden="false" customHeight="false" outlineLevel="0" collapsed="false">
      <c r="A269" s="12"/>
      <c r="B269" s="12"/>
      <c r="C269" s="12"/>
      <c r="D269" s="12"/>
      <c r="E269" s="12"/>
      <c r="F269" s="11" t="str">
        <f aca="false">IF(E269="","",IFERROR(INDEX(Unidades!$B$2:$B$218,MATCH(E269,Unidades!$A$2:$A$218,0)),"Código não encontrado"))</f>
        <v/>
      </c>
      <c r="G269" s="12"/>
      <c r="H269" s="11" t="str">
        <f aca="false">IF(A269="","",COUNTIF(Chamados!$J$2:$J$501,A269))</f>
        <v/>
      </c>
    </row>
    <row r="270" customFormat="false" ht="15" hidden="false" customHeight="false" outlineLevel="0" collapsed="false">
      <c r="A270" s="12"/>
      <c r="B270" s="12"/>
      <c r="C270" s="12"/>
      <c r="D270" s="12"/>
      <c r="E270" s="12"/>
      <c r="F270" s="11" t="str">
        <f aca="false">IF(E270="","",IFERROR(INDEX(Unidades!$B$2:$B$218,MATCH(E270,Unidades!$A$2:$A$218,0)),"Código não encontrado"))</f>
        <v/>
      </c>
      <c r="G270" s="12"/>
      <c r="H270" s="11" t="str">
        <f aca="false">IF(A270="","",COUNTIF(Chamados!$J$2:$J$501,A270))</f>
        <v/>
      </c>
    </row>
    <row r="271" customFormat="false" ht="15" hidden="false" customHeight="false" outlineLevel="0" collapsed="false">
      <c r="A271" s="12"/>
      <c r="B271" s="12"/>
      <c r="C271" s="12"/>
      <c r="D271" s="12"/>
      <c r="E271" s="12"/>
      <c r="F271" s="11" t="str">
        <f aca="false">IF(E271="","",IFERROR(INDEX(Unidades!$B$2:$B$218,MATCH(E271,Unidades!$A$2:$A$218,0)),"Código não encontrado"))</f>
        <v/>
      </c>
      <c r="G271" s="12"/>
      <c r="H271" s="11" t="str">
        <f aca="false">IF(A271="","",COUNTIF(Chamados!$J$2:$J$501,A271))</f>
        <v/>
      </c>
    </row>
    <row r="272" customFormat="false" ht="15" hidden="false" customHeight="false" outlineLevel="0" collapsed="false">
      <c r="A272" s="12"/>
      <c r="B272" s="12"/>
      <c r="C272" s="12"/>
      <c r="D272" s="12"/>
      <c r="E272" s="12"/>
      <c r="F272" s="11" t="str">
        <f aca="false">IF(E272="","",IFERROR(INDEX(Unidades!$B$2:$B$218,MATCH(E272,Unidades!$A$2:$A$218,0)),"Código não encontrado"))</f>
        <v/>
      </c>
      <c r="G272" s="12"/>
      <c r="H272" s="11" t="str">
        <f aca="false">IF(A272="","",COUNTIF(Chamados!$J$2:$J$501,A272))</f>
        <v/>
      </c>
    </row>
    <row r="273" customFormat="false" ht="15" hidden="false" customHeight="false" outlineLevel="0" collapsed="false">
      <c r="A273" s="12"/>
      <c r="B273" s="12"/>
      <c r="C273" s="12"/>
      <c r="D273" s="12"/>
      <c r="E273" s="12"/>
      <c r="F273" s="11" t="str">
        <f aca="false">IF(E273="","",IFERROR(INDEX(Unidades!$B$2:$B$218,MATCH(E273,Unidades!$A$2:$A$218,0)),"Código não encontrado"))</f>
        <v/>
      </c>
      <c r="G273" s="12"/>
      <c r="H273" s="11" t="str">
        <f aca="false">IF(A273="","",COUNTIF(Chamados!$J$2:$J$501,A273))</f>
        <v/>
      </c>
    </row>
    <row r="274" customFormat="false" ht="15" hidden="false" customHeight="false" outlineLevel="0" collapsed="false">
      <c r="A274" s="12"/>
      <c r="B274" s="12"/>
      <c r="C274" s="12"/>
      <c r="D274" s="12"/>
      <c r="E274" s="12"/>
      <c r="F274" s="11" t="str">
        <f aca="false">IF(E274="","",IFERROR(INDEX(Unidades!$B$2:$B$218,MATCH(E274,Unidades!$A$2:$A$218,0)),"Código não encontrado"))</f>
        <v/>
      </c>
      <c r="G274" s="12"/>
      <c r="H274" s="11" t="str">
        <f aca="false">IF(A274="","",COUNTIF(Chamados!$J$2:$J$501,A274))</f>
        <v/>
      </c>
    </row>
    <row r="275" customFormat="false" ht="15" hidden="false" customHeight="false" outlineLevel="0" collapsed="false">
      <c r="A275" s="12"/>
      <c r="B275" s="12"/>
      <c r="C275" s="12"/>
      <c r="D275" s="12"/>
      <c r="E275" s="12"/>
      <c r="F275" s="11" t="str">
        <f aca="false">IF(E275="","",IFERROR(INDEX(Unidades!$B$2:$B$218,MATCH(E275,Unidades!$A$2:$A$218,0)),"Código não encontrado"))</f>
        <v/>
      </c>
      <c r="G275" s="12"/>
      <c r="H275" s="11" t="str">
        <f aca="false">IF(A275="","",COUNTIF(Chamados!$J$2:$J$501,A275))</f>
        <v/>
      </c>
    </row>
    <row r="276" customFormat="false" ht="15" hidden="false" customHeight="false" outlineLevel="0" collapsed="false">
      <c r="A276" s="12"/>
      <c r="B276" s="12"/>
      <c r="C276" s="12"/>
      <c r="D276" s="12"/>
      <c r="E276" s="12"/>
      <c r="F276" s="11" t="str">
        <f aca="false">IF(E276="","",IFERROR(INDEX(Unidades!$B$2:$B$218,MATCH(E276,Unidades!$A$2:$A$218,0)),"Código não encontrado"))</f>
        <v/>
      </c>
      <c r="G276" s="12"/>
      <c r="H276" s="11" t="str">
        <f aca="false">IF(A276="","",COUNTIF(Chamados!$J$2:$J$501,A276))</f>
        <v/>
      </c>
    </row>
    <row r="277" customFormat="false" ht="15" hidden="false" customHeight="false" outlineLevel="0" collapsed="false">
      <c r="A277" s="12"/>
      <c r="B277" s="12"/>
      <c r="C277" s="12"/>
      <c r="D277" s="12"/>
      <c r="E277" s="12"/>
      <c r="F277" s="11" t="str">
        <f aca="false">IF(E277="","",IFERROR(INDEX(Unidades!$B$2:$B$218,MATCH(E277,Unidades!$A$2:$A$218,0)),"Código não encontrado"))</f>
        <v/>
      </c>
      <c r="G277" s="12"/>
      <c r="H277" s="11" t="str">
        <f aca="false">IF(A277="","",COUNTIF(Chamados!$J$2:$J$501,A277))</f>
        <v/>
      </c>
    </row>
    <row r="278" customFormat="false" ht="15" hidden="false" customHeight="false" outlineLevel="0" collapsed="false">
      <c r="A278" s="12"/>
      <c r="B278" s="12"/>
      <c r="C278" s="12"/>
      <c r="D278" s="12"/>
      <c r="E278" s="12"/>
      <c r="F278" s="11" t="str">
        <f aca="false">IF(E278="","",IFERROR(INDEX(Unidades!$B$2:$B$218,MATCH(E278,Unidades!$A$2:$A$218,0)),"Código não encontrado"))</f>
        <v/>
      </c>
      <c r="G278" s="12"/>
      <c r="H278" s="11" t="str">
        <f aca="false">IF(A278="","",COUNTIF(Chamados!$J$2:$J$501,A278))</f>
        <v/>
      </c>
    </row>
    <row r="279" customFormat="false" ht="15" hidden="false" customHeight="false" outlineLevel="0" collapsed="false">
      <c r="A279" s="12"/>
      <c r="B279" s="12"/>
      <c r="C279" s="12"/>
      <c r="D279" s="12"/>
      <c r="E279" s="12"/>
      <c r="F279" s="11" t="str">
        <f aca="false">IF(E279="","",IFERROR(INDEX(Unidades!$B$2:$B$218,MATCH(E279,Unidades!$A$2:$A$218,0)),"Código não encontrado"))</f>
        <v/>
      </c>
      <c r="G279" s="12"/>
      <c r="H279" s="11" t="str">
        <f aca="false">IF(A279="","",COUNTIF(Chamados!$J$2:$J$501,A279))</f>
        <v/>
      </c>
    </row>
    <row r="280" customFormat="false" ht="15" hidden="false" customHeight="false" outlineLevel="0" collapsed="false">
      <c r="A280" s="12"/>
      <c r="B280" s="12"/>
      <c r="C280" s="12"/>
      <c r="D280" s="12"/>
      <c r="E280" s="12"/>
      <c r="F280" s="11" t="str">
        <f aca="false">IF(E280="","",IFERROR(INDEX(Unidades!$B$2:$B$218,MATCH(E280,Unidades!$A$2:$A$218,0)),"Código não encontrado"))</f>
        <v/>
      </c>
      <c r="G280" s="12"/>
      <c r="H280" s="11" t="str">
        <f aca="false">IF(A280="","",COUNTIF(Chamados!$J$2:$J$501,A280))</f>
        <v/>
      </c>
    </row>
    <row r="281" customFormat="false" ht="15" hidden="false" customHeight="false" outlineLevel="0" collapsed="false">
      <c r="A281" s="12"/>
      <c r="B281" s="12"/>
      <c r="C281" s="12"/>
      <c r="D281" s="12"/>
      <c r="E281" s="12"/>
      <c r="F281" s="11" t="str">
        <f aca="false">IF(E281="","",IFERROR(INDEX(Unidades!$B$2:$B$218,MATCH(E281,Unidades!$A$2:$A$218,0)),"Código não encontrado"))</f>
        <v/>
      </c>
      <c r="G281" s="12"/>
      <c r="H281" s="11" t="str">
        <f aca="false">IF(A281="","",COUNTIF(Chamados!$J$2:$J$501,A281))</f>
        <v/>
      </c>
    </row>
    <row r="282" customFormat="false" ht="15" hidden="false" customHeight="false" outlineLevel="0" collapsed="false">
      <c r="A282" s="12"/>
      <c r="B282" s="12"/>
      <c r="C282" s="12"/>
      <c r="D282" s="12"/>
      <c r="E282" s="12"/>
      <c r="F282" s="11" t="str">
        <f aca="false">IF(E282="","",IFERROR(INDEX(Unidades!$B$2:$B$218,MATCH(E282,Unidades!$A$2:$A$218,0)),"Código não encontrado"))</f>
        <v/>
      </c>
      <c r="G282" s="12"/>
      <c r="H282" s="11" t="str">
        <f aca="false">IF(A282="","",COUNTIF(Chamados!$J$2:$J$501,A282))</f>
        <v/>
      </c>
    </row>
    <row r="283" customFormat="false" ht="15" hidden="false" customHeight="false" outlineLevel="0" collapsed="false">
      <c r="A283" s="12"/>
      <c r="B283" s="12"/>
      <c r="C283" s="12"/>
      <c r="D283" s="12"/>
      <c r="E283" s="12"/>
      <c r="F283" s="11" t="str">
        <f aca="false">IF(E283="","",IFERROR(INDEX(Unidades!$B$2:$B$218,MATCH(E283,Unidades!$A$2:$A$218,0)),"Código não encontrado"))</f>
        <v/>
      </c>
      <c r="G283" s="12"/>
      <c r="H283" s="11" t="str">
        <f aca="false">IF(A283="","",COUNTIF(Chamados!$J$2:$J$501,A283))</f>
        <v/>
      </c>
    </row>
    <row r="284" customFormat="false" ht="15" hidden="false" customHeight="false" outlineLevel="0" collapsed="false">
      <c r="A284" s="12"/>
      <c r="B284" s="12"/>
      <c r="C284" s="12"/>
      <c r="D284" s="12"/>
      <c r="E284" s="12"/>
      <c r="F284" s="11" t="str">
        <f aca="false">IF(E284="","",IFERROR(INDEX(Unidades!$B$2:$B$218,MATCH(E284,Unidades!$A$2:$A$218,0)),"Código não encontrado"))</f>
        <v/>
      </c>
      <c r="G284" s="12"/>
      <c r="H284" s="11" t="str">
        <f aca="false">IF(A284="","",COUNTIF(Chamados!$J$2:$J$501,A284))</f>
        <v/>
      </c>
    </row>
    <row r="285" customFormat="false" ht="15" hidden="false" customHeight="false" outlineLevel="0" collapsed="false">
      <c r="A285" s="12"/>
      <c r="B285" s="12"/>
      <c r="C285" s="12"/>
      <c r="D285" s="12"/>
      <c r="E285" s="12"/>
      <c r="F285" s="11" t="str">
        <f aca="false">IF(E285="","",IFERROR(INDEX(Unidades!$B$2:$B$218,MATCH(E285,Unidades!$A$2:$A$218,0)),"Código não encontrado"))</f>
        <v/>
      </c>
      <c r="G285" s="12"/>
      <c r="H285" s="11" t="str">
        <f aca="false">IF(A285="","",COUNTIF(Chamados!$J$2:$J$501,A285))</f>
        <v/>
      </c>
    </row>
    <row r="286" customFormat="false" ht="15" hidden="false" customHeight="false" outlineLevel="0" collapsed="false">
      <c r="A286" s="12"/>
      <c r="B286" s="12"/>
      <c r="C286" s="12"/>
      <c r="D286" s="12"/>
      <c r="E286" s="12"/>
      <c r="F286" s="11" t="str">
        <f aca="false">IF(E286="","",IFERROR(INDEX(Unidades!$B$2:$B$218,MATCH(E286,Unidades!$A$2:$A$218,0)),"Código não encontrado"))</f>
        <v/>
      </c>
      <c r="G286" s="12"/>
      <c r="H286" s="11" t="str">
        <f aca="false">IF(A286="","",COUNTIF(Chamados!$J$2:$J$501,A286))</f>
        <v/>
      </c>
    </row>
    <row r="287" customFormat="false" ht="15" hidden="false" customHeight="false" outlineLevel="0" collapsed="false">
      <c r="A287" s="12"/>
      <c r="B287" s="12"/>
      <c r="C287" s="12"/>
      <c r="D287" s="12"/>
      <c r="E287" s="12"/>
      <c r="F287" s="11" t="str">
        <f aca="false">IF(E287="","",IFERROR(INDEX(Unidades!$B$2:$B$218,MATCH(E287,Unidades!$A$2:$A$218,0)),"Código não encontrado"))</f>
        <v/>
      </c>
      <c r="G287" s="12"/>
      <c r="H287" s="11" t="str">
        <f aca="false">IF(A287="","",COUNTIF(Chamados!$J$2:$J$501,A287))</f>
        <v/>
      </c>
    </row>
    <row r="288" customFormat="false" ht="15" hidden="false" customHeight="false" outlineLevel="0" collapsed="false">
      <c r="A288" s="12"/>
      <c r="B288" s="12"/>
      <c r="C288" s="12"/>
      <c r="D288" s="12"/>
      <c r="E288" s="12"/>
      <c r="F288" s="11" t="str">
        <f aca="false">IF(E288="","",IFERROR(INDEX(Unidades!$B$2:$B$218,MATCH(E288,Unidades!$A$2:$A$218,0)),"Código não encontrado"))</f>
        <v/>
      </c>
      <c r="G288" s="12"/>
      <c r="H288" s="11" t="str">
        <f aca="false">IF(A288="","",COUNTIF(Chamados!$J$2:$J$501,A288))</f>
        <v/>
      </c>
    </row>
    <row r="289" customFormat="false" ht="15" hidden="false" customHeight="false" outlineLevel="0" collapsed="false">
      <c r="A289" s="12"/>
      <c r="B289" s="12"/>
      <c r="C289" s="12"/>
      <c r="D289" s="12"/>
      <c r="E289" s="12"/>
      <c r="F289" s="11" t="str">
        <f aca="false">IF(E289="","",IFERROR(INDEX(Unidades!$B$2:$B$218,MATCH(E289,Unidades!$A$2:$A$218,0)),"Código não encontrado"))</f>
        <v/>
      </c>
      <c r="G289" s="12"/>
      <c r="H289" s="11" t="str">
        <f aca="false">IF(A289="","",COUNTIF(Chamados!$J$2:$J$501,A289))</f>
        <v/>
      </c>
    </row>
    <row r="290" customFormat="false" ht="15" hidden="false" customHeight="false" outlineLevel="0" collapsed="false">
      <c r="A290" s="12"/>
      <c r="B290" s="12"/>
      <c r="C290" s="12"/>
      <c r="D290" s="12"/>
      <c r="E290" s="12"/>
      <c r="F290" s="11" t="str">
        <f aca="false">IF(E290="","",IFERROR(INDEX(Unidades!$B$2:$B$218,MATCH(E290,Unidades!$A$2:$A$218,0)),"Código não encontrado"))</f>
        <v/>
      </c>
      <c r="G290" s="12"/>
      <c r="H290" s="11" t="str">
        <f aca="false">IF(A290="","",COUNTIF(Chamados!$J$2:$J$501,A290))</f>
        <v/>
      </c>
    </row>
    <row r="291" customFormat="false" ht="15" hidden="false" customHeight="false" outlineLevel="0" collapsed="false">
      <c r="A291" s="12"/>
      <c r="B291" s="12"/>
      <c r="C291" s="12"/>
      <c r="D291" s="12"/>
      <c r="E291" s="12"/>
      <c r="F291" s="11" t="str">
        <f aca="false">IF(E291="","",IFERROR(INDEX(Unidades!$B$2:$B$218,MATCH(E291,Unidades!$A$2:$A$218,0)),"Código não encontrado"))</f>
        <v/>
      </c>
      <c r="G291" s="12"/>
      <c r="H291" s="11" t="str">
        <f aca="false">IF(A291="","",COUNTIF(Chamados!$J$2:$J$501,A291))</f>
        <v/>
      </c>
    </row>
    <row r="292" customFormat="false" ht="15" hidden="false" customHeight="false" outlineLevel="0" collapsed="false">
      <c r="A292" s="12"/>
      <c r="B292" s="12"/>
      <c r="C292" s="12"/>
      <c r="D292" s="12"/>
      <c r="E292" s="12"/>
      <c r="F292" s="11" t="str">
        <f aca="false">IF(E292="","",IFERROR(INDEX(Unidades!$B$2:$B$218,MATCH(E292,Unidades!$A$2:$A$218,0)),"Código não encontrado"))</f>
        <v/>
      </c>
      <c r="G292" s="12"/>
      <c r="H292" s="11" t="str">
        <f aca="false">IF(A292="","",COUNTIF(Chamados!$J$2:$J$501,A292))</f>
        <v/>
      </c>
    </row>
    <row r="293" customFormat="false" ht="15" hidden="false" customHeight="false" outlineLevel="0" collapsed="false">
      <c r="A293" s="12"/>
      <c r="B293" s="12"/>
      <c r="C293" s="12"/>
      <c r="D293" s="12"/>
      <c r="E293" s="12"/>
      <c r="F293" s="11" t="str">
        <f aca="false">IF(E293="","",IFERROR(INDEX(Unidades!$B$2:$B$218,MATCH(E293,Unidades!$A$2:$A$218,0)),"Código não encontrado"))</f>
        <v/>
      </c>
      <c r="G293" s="12"/>
      <c r="H293" s="11" t="str">
        <f aca="false">IF(A293="","",COUNTIF(Chamados!$J$2:$J$501,A293))</f>
        <v/>
      </c>
    </row>
    <row r="294" customFormat="false" ht="15" hidden="false" customHeight="false" outlineLevel="0" collapsed="false">
      <c r="A294" s="12"/>
      <c r="B294" s="12"/>
      <c r="C294" s="12"/>
      <c r="D294" s="12"/>
      <c r="E294" s="12"/>
      <c r="F294" s="11" t="str">
        <f aca="false">IF(E294="","",IFERROR(INDEX(Unidades!$B$2:$B$218,MATCH(E294,Unidades!$A$2:$A$218,0)),"Código não encontrado"))</f>
        <v/>
      </c>
      <c r="G294" s="12"/>
      <c r="H294" s="11" t="str">
        <f aca="false">IF(A294="","",COUNTIF(Chamados!$J$2:$J$501,A294))</f>
        <v/>
      </c>
    </row>
    <row r="295" customFormat="false" ht="15" hidden="false" customHeight="false" outlineLevel="0" collapsed="false">
      <c r="A295" s="12"/>
      <c r="B295" s="12"/>
      <c r="C295" s="12"/>
      <c r="D295" s="12"/>
      <c r="E295" s="12"/>
      <c r="F295" s="11" t="str">
        <f aca="false">IF(E295="","",IFERROR(INDEX(Unidades!$B$2:$B$218,MATCH(E295,Unidades!$A$2:$A$218,0)),"Código não encontrado"))</f>
        <v/>
      </c>
      <c r="G295" s="12"/>
      <c r="H295" s="11" t="str">
        <f aca="false">IF(A295="","",COUNTIF(Chamados!$J$2:$J$501,A295))</f>
        <v/>
      </c>
    </row>
    <row r="296" customFormat="false" ht="15" hidden="false" customHeight="false" outlineLevel="0" collapsed="false">
      <c r="A296" s="12"/>
      <c r="B296" s="12"/>
      <c r="C296" s="12"/>
      <c r="D296" s="12"/>
      <c r="E296" s="12"/>
      <c r="F296" s="11" t="str">
        <f aca="false">IF(E296="","",IFERROR(INDEX(Unidades!$B$2:$B$218,MATCH(E296,Unidades!$A$2:$A$218,0)),"Código não encontrado"))</f>
        <v/>
      </c>
      <c r="G296" s="12"/>
      <c r="H296" s="11" t="str">
        <f aca="false">IF(A296="","",COUNTIF(Chamados!$J$2:$J$501,A296))</f>
        <v/>
      </c>
    </row>
    <row r="297" customFormat="false" ht="15" hidden="false" customHeight="false" outlineLevel="0" collapsed="false">
      <c r="A297" s="12"/>
      <c r="B297" s="12"/>
      <c r="C297" s="12"/>
      <c r="D297" s="12"/>
      <c r="E297" s="12"/>
      <c r="F297" s="11" t="str">
        <f aca="false">IF(E297="","",IFERROR(INDEX(Unidades!$B$2:$B$218,MATCH(E297,Unidades!$A$2:$A$218,0)),"Código não encontrado"))</f>
        <v/>
      </c>
      <c r="G297" s="12"/>
      <c r="H297" s="11" t="str">
        <f aca="false">IF(A297="","",COUNTIF(Chamados!$J$2:$J$501,A297))</f>
        <v/>
      </c>
    </row>
    <row r="298" customFormat="false" ht="15" hidden="false" customHeight="false" outlineLevel="0" collapsed="false">
      <c r="A298" s="12"/>
      <c r="B298" s="12"/>
      <c r="C298" s="12"/>
      <c r="D298" s="12"/>
      <c r="E298" s="12"/>
      <c r="F298" s="11" t="str">
        <f aca="false">IF(E298="","",IFERROR(INDEX(Unidades!$B$2:$B$218,MATCH(E298,Unidades!$A$2:$A$218,0)),"Código não encontrado"))</f>
        <v/>
      </c>
      <c r="G298" s="12"/>
      <c r="H298" s="11" t="str">
        <f aca="false">IF(A298="","",COUNTIF(Chamados!$J$2:$J$501,A298))</f>
        <v/>
      </c>
    </row>
    <row r="299" customFormat="false" ht="15" hidden="false" customHeight="false" outlineLevel="0" collapsed="false">
      <c r="A299" s="12"/>
      <c r="B299" s="12"/>
      <c r="C299" s="12"/>
      <c r="D299" s="12"/>
      <c r="E299" s="12"/>
      <c r="F299" s="11" t="str">
        <f aca="false">IF(E299="","",IFERROR(INDEX(Unidades!$B$2:$B$218,MATCH(E299,Unidades!$A$2:$A$218,0)),"Código não encontrado"))</f>
        <v/>
      </c>
      <c r="G299" s="12"/>
      <c r="H299" s="11" t="str">
        <f aca="false">IF(A299="","",COUNTIF(Chamados!$J$2:$J$501,A299))</f>
        <v/>
      </c>
    </row>
    <row r="300" customFormat="false" ht="15" hidden="false" customHeight="false" outlineLevel="0" collapsed="false">
      <c r="A300" s="12"/>
      <c r="B300" s="12"/>
      <c r="C300" s="12"/>
      <c r="D300" s="12"/>
      <c r="E300" s="12"/>
      <c r="F300" s="11" t="str">
        <f aca="false">IF(E300="","",IFERROR(INDEX(Unidades!$B$2:$B$218,MATCH(E300,Unidades!$A$2:$A$218,0)),"Código não encontrado"))</f>
        <v/>
      </c>
      <c r="G300" s="12"/>
      <c r="H300" s="11" t="str">
        <f aca="false">IF(A300="","",COUNTIF(Chamados!$J$2:$J$501,A300))</f>
        <v/>
      </c>
    </row>
    <row r="301" customFormat="false" ht="15" hidden="false" customHeight="false" outlineLevel="0" collapsed="false">
      <c r="A301" s="12"/>
      <c r="B301" s="12"/>
      <c r="C301" s="12"/>
      <c r="D301" s="12"/>
      <c r="E301" s="12"/>
      <c r="F301" s="11" t="str">
        <f aca="false">IF(E301="","",IFERROR(INDEX(Unidades!$B$2:$B$218,MATCH(E301,Unidades!$A$2:$A$218,0)),"Código não encontrado"))</f>
        <v/>
      </c>
      <c r="G301" s="12"/>
      <c r="H301" s="11" t="str">
        <f aca="false">IF(A301="","",COUNTIF(Chamados!$J$2:$J$501,A301))</f>
        <v/>
      </c>
    </row>
    <row r="302" customFormat="false" ht="15" hidden="false" customHeight="false" outlineLevel="0" collapsed="false">
      <c r="A302" s="12"/>
      <c r="B302" s="12"/>
      <c r="C302" s="12"/>
      <c r="D302" s="12"/>
      <c r="E302" s="12"/>
      <c r="F302" s="11" t="str">
        <f aca="false">IF(E302="","",IFERROR(INDEX(Unidades!$B$2:$B$218,MATCH(E302,Unidades!$A$2:$A$218,0)),"Código não encontrado"))</f>
        <v/>
      </c>
      <c r="G302" s="12"/>
      <c r="H302" s="11" t="str">
        <f aca="false">IF(A302="","",COUNTIF(Chamados!$J$2:$J$501,A302))</f>
        <v/>
      </c>
    </row>
    <row r="303" customFormat="false" ht="15" hidden="false" customHeight="false" outlineLevel="0" collapsed="false">
      <c r="A303" s="12"/>
      <c r="B303" s="12"/>
      <c r="C303" s="12"/>
      <c r="D303" s="12"/>
      <c r="E303" s="12"/>
      <c r="F303" s="11" t="str">
        <f aca="false">IF(E303="","",IFERROR(INDEX(Unidades!$B$2:$B$218,MATCH(E303,Unidades!$A$2:$A$218,0)),"Código não encontrado"))</f>
        <v/>
      </c>
      <c r="G303" s="12"/>
      <c r="H303" s="11" t="str">
        <f aca="false">IF(A303="","",COUNTIF(Chamados!$J$2:$J$501,A303))</f>
        <v/>
      </c>
    </row>
    <row r="304" customFormat="false" ht="15" hidden="false" customHeight="false" outlineLevel="0" collapsed="false">
      <c r="A304" s="12"/>
      <c r="B304" s="12"/>
      <c r="C304" s="12"/>
      <c r="D304" s="12"/>
      <c r="E304" s="12"/>
      <c r="F304" s="11" t="str">
        <f aca="false">IF(E304="","",IFERROR(INDEX(Unidades!$B$2:$B$218,MATCH(E304,Unidades!$A$2:$A$218,0)),"Código não encontrado"))</f>
        <v/>
      </c>
      <c r="G304" s="12"/>
      <c r="H304" s="11" t="str">
        <f aca="false">IF(A304="","",COUNTIF(Chamados!$J$2:$J$501,A304))</f>
        <v/>
      </c>
    </row>
    <row r="305" customFormat="false" ht="15" hidden="false" customHeight="false" outlineLevel="0" collapsed="false">
      <c r="A305" s="12"/>
      <c r="B305" s="12"/>
      <c r="C305" s="12"/>
      <c r="D305" s="12"/>
      <c r="E305" s="12"/>
      <c r="F305" s="11" t="str">
        <f aca="false">IF(E305="","",IFERROR(INDEX(Unidades!$B$2:$B$218,MATCH(E305,Unidades!$A$2:$A$218,0)),"Código não encontrado"))</f>
        <v/>
      </c>
      <c r="G305" s="12"/>
      <c r="H305" s="11" t="str">
        <f aca="false">IF(A305="","",COUNTIF(Chamados!$J$2:$J$501,A305))</f>
        <v/>
      </c>
    </row>
    <row r="306" customFormat="false" ht="15" hidden="false" customHeight="false" outlineLevel="0" collapsed="false">
      <c r="A306" s="12"/>
      <c r="B306" s="12"/>
      <c r="C306" s="12"/>
      <c r="D306" s="12"/>
      <c r="E306" s="12"/>
      <c r="F306" s="11" t="str">
        <f aca="false">IF(E306="","",IFERROR(INDEX(Unidades!$B$2:$B$218,MATCH(E306,Unidades!$A$2:$A$218,0)),"Código não encontrado"))</f>
        <v/>
      </c>
      <c r="G306" s="12"/>
      <c r="H306" s="11" t="str">
        <f aca="false">IF(A306="","",COUNTIF(Chamados!$J$2:$J$501,A306))</f>
        <v/>
      </c>
    </row>
    <row r="307" customFormat="false" ht="15" hidden="false" customHeight="false" outlineLevel="0" collapsed="false">
      <c r="A307" s="12"/>
      <c r="B307" s="12"/>
      <c r="C307" s="12"/>
      <c r="D307" s="12"/>
      <c r="E307" s="12"/>
      <c r="F307" s="11" t="str">
        <f aca="false">IF(E307="","",IFERROR(INDEX(Unidades!$B$2:$B$218,MATCH(E307,Unidades!$A$2:$A$218,0)),"Código não encontrado"))</f>
        <v/>
      </c>
      <c r="G307" s="12"/>
      <c r="H307" s="11" t="str">
        <f aca="false">IF(A307="","",COUNTIF(Chamados!$J$2:$J$501,A307))</f>
        <v/>
      </c>
    </row>
    <row r="308" customFormat="false" ht="15" hidden="false" customHeight="false" outlineLevel="0" collapsed="false">
      <c r="A308" s="12"/>
      <c r="B308" s="12"/>
      <c r="C308" s="12"/>
      <c r="D308" s="12"/>
      <c r="E308" s="12"/>
      <c r="F308" s="11" t="str">
        <f aca="false">IF(E308="","",IFERROR(INDEX(Unidades!$B$2:$B$218,MATCH(E308,Unidades!$A$2:$A$218,0)),"Código não encontrado"))</f>
        <v/>
      </c>
      <c r="G308" s="12"/>
      <c r="H308" s="11" t="str">
        <f aca="false">IF(A308="","",COUNTIF(Chamados!$J$2:$J$501,A308))</f>
        <v/>
      </c>
    </row>
    <row r="309" customFormat="false" ht="15" hidden="false" customHeight="false" outlineLevel="0" collapsed="false">
      <c r="A309" s="12"/>
      <c r="B309" s="12"/>
      <c r="C309" s="12"/>
      <c r="D309" s="12"/>
      <c r="E309" s="12"/>
      <c r="F309" s="11" t="str">
        <f aca="false">IF(E309="","",IFERROR(INDEX(Unidades!$B$2:$B$218,MATCH(E309,Unidades!$A$2:$A$218,0)),"Código não encontrado"))</f>
        <v/>
      </c>
      <c r="G309" s="12"/>
      <c r="H309" s="11" t="str">
        <f aca="false">IF(A309="","",COUNTIF(Chamados!$J$2:$J$501,A309))</f>
        <v/>
      </c>
    </row>
    <row r="310" customFormat="false" ht="15" hidden="false" customHeight="false" outlineLevel="0" collapsed="false">
      <c r="A310" s="12"/>
      <c r="B310" s="12"/>
      <c r="C310" s="12"/>
      <c r="D310" s="12"/>
      <c r="E310" s="12"/>
      <c r="F310" s="11" t="str">
        <f aca="false">IF(E310="","",IFERROR(INDEX(Unidades!$B$2:$B$218,MATCH(E310,Unidades!$A$2:$A$218,0)),"Código não encontrado"))</f>
        <v/>
      </c>
      <c r="G310" s="12"/>
      <c r="H310" s="11" t="str">
        <f aca="false">IF(A310="","",COUNTIF(Chamados!$J$2:$J$501,A310))</f>
        <v/>
      </c>
    </row>
    <row r="311" customFormat="false" ht="15" hidden="false" customHeight="false" outlineLevel="0" collapsed="false">
      <c r="A311" s="12"/>
      <c r="B311" s="12"/>
      <c r="C311" s="12"/>
      <c r="D311" s="12"/>
      <c r="E311" s="12"/>
      <c r="F311" s="11" t="str">
        <f aca="false">IF(E311="","",IFERROR(INDEX(Unidades!$B$2:$B$218,MATCH(E311,Unidades!$A$2:$A$218,0)),"Código não encontrado"))</f>
        <v/>
      </c>
      <c r="G311" s="12"/>
      <c r="H311" s="11" t="str">
        <f aca="false">IF(A311="","",COUNTIF(Chamados!$J$2:$J$501,A311))</f>
        <v/>
      </c>
    </row>
    <row r="312" customFormat="false" ht="15" hidden="false" customHeight="false" outlineLevel="0" collapsed="false">
      <c r="A312" s="12"/>
      <c r="B312" s="12"/>
      <c r="C312" s="12"/>
      <c r="D312" s="12"/>
      <c r="E312" s="12"/>
      <c r="F312" s="11" t="str">
        <f aca="false">IF(E312="","",IFERROR(INDEX(Unidades!$B$2:$B$218,MATCH(E312,Unidades!$A$2:$A$218,0)),"Código não encontrado"))</f>
        <v/>
      </c>
      <c r="G312" s="12"/>
      <c r="H312" s="11" t="str">
        <f aca="false">IF(A312="","",COUNTIF(Chamados!$J$2:$J$501,A312))</f>
        <v/>
      </c>
    </row>
    <row r="313" customFormat="false" ht="15" hidden="false" customHeight="false" outlineLevel="0" collapsed="false">
      <c r="A313" s="12"/>
      <c r="B313" s="12"/>
      <c r="C313" s="12"/>
      <c r="D313" s="12"/>
      <c r="E313" s="12"/>
      <c r="F313" s="11" t="str">
        <f aca="false">IF(E313="","",IFERROR(INDEX(Unidades!$B$2:$B$218,MATCH(E313,Unidades!$A$2:$A$218,0)),"Código não encontrado"))</f>
        <v/>
      </c>
      <c r="G313" s="12"/>
      <c r="H313" s="11" t="str">
        <f aca="false">IF(A313="","",COUNTIF(Chamados!$J$2:$J$501,A313))</f>
        <v/>
      </c>
    </row>
    <row r="314" customFormat="false" ht="15" hidden="false" customHeight="false" outlineLevel="0" collapsed="false">
      <c r="A314" s="12"/>
      <c r="B314" s="12"/>
      <c r="C314" s="12"/>
      <c r="D314" s="12"/>
      <c r="E314" s="12"/>
      <c r="F314" s="11" t="str">
        <f aca="false">IF(E314="","",IFERROR(INDEX(Unidades!$B$2:$B$218,MATCH(E314,Unidades!$A$2:$A$218,0)),"Código não encontrado"))</f>
        <v/>
      </c>
      <c r="G314" s="12"/>
      <c r="H314" s="11" t="str">
        <f aca="false">IF(A314="","",COUNTIF(Chamados!$J$2:$J$501,A314))</f>
        <v/>
      </c>
    </row>
    <row r="315" customFormat="false" ht="15" hidden="false" customHeight="false" outlineLevel="0" collapsed="false">
      <c r="A315" s="12"/>
      <c r="B315" s="12"/>
      <c r="C315" s="12"/>
      <c r="D315" s="12"/>
      <c r="E315" s="12"/>
      <c r="F315" s="11" t="str">
        <f aca="false">IF(E315="","",IFERROR(INDEX(Unidades!$B$2:$B$218,MATCH(E315,Unidades!$A$2:$A$218,0)),"Código não encontrado"))</f>
        <v/>
      </c>
      <c r="G315" s="12"/>
      <c r="H315" s="11" t="str">
        <f aca="false">IF(A315="","",COUNTIF(Chamados!$J$2:$J$501,A315))</f>
        <v/>
      </c>
    </row>
    <row r="316" customFormat="false" ht="15" hidden="false" customHeight="false" outlineLevel="0" collapsed="false">
      <c r="A316" s="12"/>
      <c r="B316" s="12"/>
      <c r="C316" s="12"/>
      <c r="D316" s="12"/>
      <c r="E316" s="12"/>
      <c r="F316" s="11" t="str">
        <f aca="false">IF(E316="","",IFERROR(INDEX(Unidades!$B$2:$B$218,MATCH(E316,Unidades!$A$2:$A$218,0)),"Código não encontrado"))</f>
        <v/>
      </c>
      <c r="G316" s="12"/>
      <c r="H316" s="11" t="str">
        <f aca="false">IF(A316="","",COUNTIF(Chamados!$J$2:$J$501,A316))</f>
        <v/>
      </c>
    </row>
    <row r="317" customFormat="false" ht="15" hidden="false" customHeight="false" outlineLevel="0" collapsed="false">
      <c r="A317" s="12"/>
      <c r="B317" s="12"/>
      <c r="C317" s="12"/>
      <c r="D317" s="12"/>
      <c r="E317" s="12"/>
      <c r="F317" s="11" t="str">
        <f aca="false">IF(E317="","",IFERROR(INDEX(Unidades!$B$2:$B$218,MATCH(E317,Unidades!$A$2:$A$218,0)),"Código não encontrado"))</f>
        <v/>
      </c>
      <c r="G317" s="12"/>
      <c r="H317" s="11" t="str">
        <f aca="false">IF(A317="","",COUNTIF(Chamados!$J$2:$J$501,A317))</f>
        <v/>
      </c>
    </row>
    <row r="318" customFormat="false" ht="15" hidden="false" customHeight="false" outlineLevel="0" collapsed="false">
      <c r="A318" s="12"/>
      <c r="B318" s="12"/>
      <c r="C318" s="12"/>
      <c r="D318" s="12"/>
      <c r="E318" s="12"/>
      <c r="F318" s="11" t="str">
        <f aca="false">IF(E318="","",IFERROR(INDEX(Unidades!$B$2:$B$218,MATCH(E318,Unidades!$A$2:$A$218,0)),"Código não encontrado"))</f>
        <v/>
      </c>
      <c r="G318" s="12"/>
      <c r="H318" s="11" t="str">
        <f aca="false">IF(A318="","",COUNTIF(Chamados!$J$2:$J$501,A318))</f>
        <v/>
      </c>
    </row>
    <row r="319" customFormat="false" ht="15" hidden="false" customHeight="false" outlineLevel="0" collapsed="false">
      <c r="A319" s="12"/>
      <c r="B319" s="12"/>
      <c r="C319" s="12"/>
      <c r="D319" s="12"/>
      <c r="E319" s="12"/>
      <c r="F319" s="11" t="str">
        <f aca="false">IF(E319="","",IFERROR(INDEX(Unidades!$B$2:$B$218,MATCH(E319,Unidades!$A$2:$A$218,0)),"Código não encontrado"))</f>
        <v/>
      </c>
      <c r="G319" s="12"/>
      <c r="H319" s="11" t="str">
        <f aca="false">IF(A319="","",COUNTIF(Chamados!$J$2:$J$501,A319))</f>
        <v/>
      </c>
    </row>
    <row r="320" customFormat="false" ht="15" hidden="false" customHeight="false" outlineLevel="0" collapsed="false">
      <c r="A320" s="12"/>
      <c r="B320" s="12"/>
      <c r="C320" s="12"/>
      <c r="D320" s="12"/>
      <c r="E320" s="12"/>
      <c r="F320" s="11" t="str">
        <f aca="false">IF(E320="","",IFERROR(INDEX(Unidades!$B$2:$B$218,MATCH(E320,Unidades!$A$2:$A$218,0)),"Código não encontrado"))</f>
        <v/>
      </c>
      <c r="G320" s="12"/>
      <c r="H320" s="11" t="str">
        <f aca="false">IF(A320="","",COUNTIF(Chamados!$J$2:$J$501,A320))</f>
        <v/>
      </c>
    </row>
    <row r="321" customFormat="false" ht="15" hidden="false" customHeight="false" outlineLevel="0" collapsed="false">
      <c r="A321" s="12"/>
      <c r="B321" s="12"/>
      <c r="C321" s="12"/>
      <c r="D321" s="12"/>
      <c r="E321" s="12"/>
      <c r="F321" s="11" t="str">
        <f aca="false">IF(E321="","",IFERROR(INDEX(Unidades!$B$2:$B$218,MATCH(E321,Unidades!$A$2:$A$218,0)),"Código não encontrado"))</f>
        <v/>
      </c>
      <c r="G321" s="12"/>
      <c r="H321" s="11" t="str">
        <f aca="false">IF(A321="","",COUNTIF(Chamados!$J$2:$J$501,A321))</f>
        <v/>
      </c>
    </row>
    <row r="322" customFormat="false" ht="15" hidden="false" customHeight="false" outlineLevel="0" collapsed="false">
      <c r="A322" s="12"/>
      <c r="B322" s="12"/>
      <c r="C322" s="12"/>
      <c r="D322" s="12"/>
      <c r="E322" s="12"/>
      <c r="F322" s="11" t="str">
        <f aca="false">IF(E322="","",IFERROR(INDEX(Unidades!$B$2:$B$218,MATCH(E322,Unidades!$A$2:$A$218,0)),"Código não encontrado"))</f>
        <v/>
      </c>
      <c r="G322" s="12"/>
      <c r="H322" s="11" t="str">
        <f aca="false">IF(A322="","",COUNTIF(Chamados!$J$2:$J$501,A322))</f>
        <v/>
      </c>
    </row>
    <row r="323" customFormat="false" ht="15" hidden="false" customHeight="false" outlineLevel="0" collapsed="false">
      <c r="A323" s="12"/>
      <c r="B323" s="12"/>
      <c r="C323" s="12"/>
      <c r="D323" s="12"/>
      <c r="E323" s="12"/>
      <c r="F323" s="11" t="str">
        <f aca="false">IF(E323="","",IFERROR(INDEX(Unidades!$B$2:$B$218,MATCH(E323,Unidades!$A$2:$A$218,0)),"Código não encontrado"))</f>
        <v/>
      </c>
      <c r="G323" s="12"/>
      <c r="H323" s="11" t="str">
        <f aca="false">IF(A323="","",COUNTIF(Chamados!$J$2:$J$501,A323))</f>
        <v/>
      </c>
    </row>
    <row r="324" customFormat="false" ht="15" hidden="false" customHeight="false" outlineLevel="0" collapsed="false">
      <c r="A324" s="12"/>
      <c r="B324" s="12"/>
      <c r="C324" s="12"/>
      <c r="D324" s="12"/>
      <c r="E324" s="12"/>
      <c r="F324" s="11" t="str">
        <f aca="false">IF(E324="","",IFERROR(INDEX(Unidades!$B$2:$B$218,MATCH(E324,Unidades!$A$2:$A$218,0)),"Código não encontrado"))</f>
        <v/>
      </c>
      <c r="G324" s="12"/>
      <c r="H324" s="11" t="str">
        <f aca="false">IF(A324="","",COUNTIF(Chamados!$J$2:$J$501,A324))</f>
        <v/>
      </c>
    </row>
    <row r="325" customFormat="false" ht="15" hidden="false" customHeight="false" outlineLevel="0" collapsed="false">
      <c r="A325" s="12"/>
      <c r="B325" s="12"/>
      <c r="C325" s="12"/>
      <c r="D325" s="12"/>
      <c r="E325" s="12"/>
      <c r="F325" s="11" t="str">
        <f aca="false">IF(E325="","",IFERROR(INDEX(Unidades!$B$2:$B$218,MATCH(E325,Unidades!$A$2:$A$218,0)),"Código não encontrado"))</f>
        <v/>
      </c>
      <c r="G325" s="12"/>
      <c r="H325" s="11" t="str">
        <f aca="false">IF(A325="","",COUNTIF(Chamados!$J$2:$J$501,A325))</f>
        <v/>
      </c>
    </row>
    <row r="326" customFormat="false" ht="15" hidden="false" customHeight="false" outlineLevel="0" collapsed="false">
      <c r="A326" s="12"/>
      <c r="B326" s="12"/>
      <c r="C326" s="12"/>
      <c r="D326" s="12"/>
      <c r="E326" s="12"/>
      <c r="F326" s="11" t="str">
        <f aca="false">IF(E326="","",IFERROR(INDEX(Unidades!$B$2:$B$218,MATCH(E326,Unidades!$A$2:$A$218,0)),"Código não encontrado"))</f>
        <v/>
      </c>
      <c r="G326" s="12"/>
      <c r="H326" s="11" t="str">
        <f aca="false">IF(A326="","",COUNTIF(Chamados!$J$2:$J$501,A326))</f>
        <v/>
      </c>
    </row>
    <row r="327" customFormat="false" ht="15" hidden="false" customHeight="false" outlineLevel="0" collapsed="false">
      <c r="A327" s="12"/>
      <c r="B327" s="12"/>
      <c r="C327" s="12"/>
      <c r="D327" s="12"/>
      <c r="E327" s="12"/>
      <c r="F327" s="11" t="str">
        <f aca="false">IF(E327="","",IFERROR(INDEX(Unidades!$B$2:$B$218,MATCH(E327,Unidades!$A$2:$A$218,0)),"Código não encontrado"))</f>
        <v/>
      </c>
      <c r="G327" s="12"/>
      <c r="H327" s="11" t="str">
        <f aca="false">IF(A327="","",COUNTIF(Chamados!$J$2:$J$501,A327))</f>
        <v/>
      </c>
    </row>
    <row r="328" customFormat="false" ht="15" hidden="false" customHeight="false" outlineLevel="0" collapsed="false">
      <c r="A328" s="12"/>
      <c r="B328" s="12"/>
      <c r="C328" s="12"/>
      <c r="D328" s="12"/>
      <c r="E328" s="12"/>
      <c r="F328" s="11" t="str">
        <f aca="false">IF(E328="","",IFERROR(INDEX(Unidades!$B$2:$B$218,MATCH(E328,Unidades!$A$2:$A$218,0)),"Código não encontrado"))</f>
        <v/>
      </c>
      <c r="G328" s="12"/>
      <c r="H328" s="11" t="str">
        <f aca="false">IF(A328="","",COUNTIF(Chamados!$J$2:$J$501,A328))</f>
        <v/>
      </c>
    </row>
    <row r="329" customFormat="false" ht="15" hidden="false" customHeight="false" outlineLevel="0" collapsed="false">
      <c r="A329" s="12"/>
      <c r="B329" s="12"/>
      <c r="C329" s="12"/>
      <c r="D329" s="12"/>
      <c r="E329" s="12"/>
      <c r="F329" s="11" t="str">
        <f aca="false">IF(E329="","",IFERROR(INDEX(Unidades!$B$2:$B$218,MATCH(E329,Unidades!$A$2:$A$218,0)),"Código não encontrado"))</f>
        <v/>
      </c>
      <c r="G329" s="12"/>
      <c r="H329" s="11" t="str">
        <f aca="false">IF(A329="","",COUNTIF(Chamados!$J$2:$J$501,A329))</f>
        <v/>
      </c>
    </row>
    <row r="330" customFormat="false" ht="15" hidden="false" customHeight="false" outlineLevel="0" collapsed="false">
      <c r="A330" s="12"/>
      <c r="B330" s="12"/>
      <c r="C330" s="12"/>
      <c r="D330" s="12"/>
      <c r="E330" s="12"/>
      <c r="F330" s="11" t="str">
        <f aca="false">IF(E330="","",IFERROR(INDEX(Unidades!$B$2:$B$218,MATCH(E330,Unidades!$A$2:$A$218,0)),"Código não encontrado"))</f>
        <v/>
      </c>
      <c r="G330" s="12"/>
      <c r="H330" s="11" t="str">
        <f aca="false">IF(A330="","",COUNTIF(Chamados!$J$2:$J$501,A330))</f>
        <v/>
      </c>
    </row>
    <row r="331" customFormat="false" ht="15" hidden="false" customHeight="false" outlineLevel="0" collapsed="false">
      <c r="A331" s="12"/>
      <c r="B331" s="12"/>
      <c r="C331" s="12"/>
      <c r="D331" s="12"/>
      <c r="E331" s="12"/>
      <c r="F331" s="11" t="str">
        <f aca="false">IF(E331="","",IFERROR(INDEX(Unidades!$B$2:$B$218,MATCH(E331,Unidades!$A$2:$A$218,0)),"Código não encontrado"))</f>
        <v/>
      </c>
      <c r="G331" s="12"/>
      <c r="H331" s="11" t="str">
        <f aca="false">IF(A331="","",COUNTIF(Chamados!$J$2:$J$501,A331))</f>
        <v/>
      </c>
    </row>
    <row r="332" customFormat="false" ht="15" hidden="false" customHeight="false" outlineLevel="0" collapsed="false">
      <c r="A332" s="12"/>
      <c r="B332" s="12"/>
      <c r="C332" s="12"/>
      <c r="D332" s="12"/>
      <c r="E332" s="12"/>
      <c r="F332" s="11" t="str">
        <f aca="false">IF(E332="","",IFERROR(INDEX(Unidades!$B$2:$B$218,MATCH(E332,Unidades!$A$2:$A$218,0)),"Código não encontrado"))</f>
        <v/>
      </c>
      <c r="G332" s="12"/>
      <c r="H332" s="11" t="str">
        <f aca="false">IF(A332="","",COUNTIF(Chamados!$J$2:$J$501,A332))</f>
        <v/>
      </c>
    </row>
    <row r="333" customFormat="false" ht="15" hidden="false" customHeight="false" outlineLevel="0" collapsed="false">
      <c r="A333" s="12"/>
      <c r="B333" s="12"/>
      <c r="C333" s="12"/>
      <c r="D333" s="12"/>
      <c r="E333" s="12"/>
      <c r="F333" s="11" t="str">
        <f aca="false">IF(E333="","",IFERROR(INDEX(Unidades!$B$2:$B$218,MATCH(E333,Unidades!$A$2:$A$218,0)),"Código não encontrado"))</f>
        <v/>
      </c>
      <c r="G333" s="12"/>
      <c r="H333" s="11" t="str">
        <f aca="false">IF(A333="","",COUNTIF(Chamados!$J$2:$J$501,A333))</f>
        <v/>
      </c>
    </row>
    <row r="334" customFormat="false" ht="15" hidden="false" customHeight="false" outlineLevel="0" collapsed="false">
      <c r="A334" s="12"/>
      <c r="B334" s="12"/>
      <c r="C334" s="12"/>
      <c r="D334" s="12"/>
      <c r="E334" s="12"/>
      <c r="F334" s="11" t="str">
        <f aca="false">IF(E334="","",IFERROR(INDEX(Unidades!$B$2:$B$218,MATCH(E334,Unidades!$A$2:$A$218,0)),"Código não encontrado"))</f>
        <v/>
      </c>
      <c r="G334" s="12"/>
      <c r="H334" s="11" t="str">
        <f aca="false">IF(A334="","",COUNTIF(Chamados!$J$2:$J$501,A334))</f>
        <v/>
      </c>
    </row>
    <row r="335" customFormat="false" ht="15" hidden="false" customHeight="false" outlineLevel="0" collapsed="false">
      <c r="A335" s="12"/>
      <c r="B335" s="12"/>
      <c r="C335" s="12"/>
      <c r="D335" s="12"/>
      <c r="E335" s="12"/>
      <c r="F335" s="11" t="str">
        <f aca="false">IF(E335="","",IFERROR(INDEX(Unidades!$B$2:$B$218,MATCH(E335,Unidades!$A$2:$A$218,0)),"Código não encontrado"))</f>
        <v/>
      </c>
      <c r="G335" s="12"/>
      <c r="H335" s="11" t="str">
        <f aca="false">IF(A335="","",COUNTIF(Chamados!$J$2:$J$501,A335))</f>
        <v/>
      </c>
    </row>
    <row r="336" customFormat="false" ht="15" hidden="false" customHeight="false" outlineLevel="0" collapsed="false">
      <c r="A336" s="12"/>
      <c r="B336" s="12"/>
      <c r="C336" s="12"/>
      <c r="D336" s="12"/>
      <c r="E336" s="12"/>
      <c r="F336" s="11" t="str">
        <f aca="false">IF(E336="","",IFERROR(INDEX(Unidades!$B$2:$B$218,MATCH(E336,Unidades!$A$2:$A$218,0)),"Código não encontrado"))</f>
        <v/>
      </c>
      <c r="G336" s="12"/>
      <c r="H336" s="11" t="str">
        <f aca="false">IF(A336="","",COUNTIF(Chamados!$J$2:$J$501,A336))</f>
        <v/>
      </c>
    </row>
    <row r="337" customFormat="false" ht="15" hidden="false" customHeight="false" outlineLevel="0" collapsed="false">
      <c r="A337" s="12"/>
      <c r="B337" s="12"/>
      <c r="C337" s="12"/>
      <c r="D337" s="12"/>
      <c r="E337" s="12"/>
      <c r="F337" s="11" t="str">
        <f aca="false">IF(E337="","",IFERROR(INDEX(Unidades!$B$2:$B$218,MATCH(E337,Unidades!$A$2:$A$218,0)),"Código não encontrado"))</f>
        <v/>
      </c>
      <c r="G337" s="12"/>
      <c r="H337" s="11" t="str">
        <f aca="false">IF(A337="","",COUNTIF(Chamados!$J$2:$J$501,A337))</f>
        <v/>
      </c>
    </row>
    <row r="338" customFormat="false" ht="15" hidden="false" customHeight="false" outlineLevel="0" collapsed="false">
      <c r="A338" s="12"/>
      <c r="B338" s="12"/>
      <c r="C338" s="12"/>
      <c r="D338" s="12"/>
      <c r="E338" s="12"/>
      <c r="F338" s="11" t="str">
        <f aca="false">IF(E338="","",IFERROR(INDEX(Unidades!$B$2:$B$218,MATCH(E338,Unidades!$A$2:$A$218,0)),"Código não encontrado"))</f>
        <v/>
      </c>
      <c r="G338" s="12"/>
      <c r="H338" s="11" t="str">
        <f aca="false">IF(A338="","",COUNTIF(Chamados!$J$2:$J$501,A338))</f>
        <v/>
      </c>
    </row>
    <row r="339" customFormat="false" ht="15" hidden="false" customHeight="false" outlineLevel="0" collapsed="false">
      <c r="A339" s="12"/>
      <c r="B339" s="12"/>
      <c r="C339" s="12"/>
      <c r="D339" s="12"/>
      <c r="E339" s="12"/>
      <c r="F339" s="11" t="str">
        <f aca="false">IF(E339="","",IFERROR(INDEX(Unidades!$B$2:$B$218,MATCH(E339,Unidades!$A$2:$A$218,0)),"Código não encontrado"))</f>
        <v/>
      </c>
      <c r="G339" s="12"/>
      <c r="H339" s="11" t="str">
        <f aca="false">IF(A339="","",COUNTIF(Chamados!$J$2:$J$501,A339))</f>
        <v/>
      </c>
    </row>
    <row r="340" customFormat="false" ht="15" hidden="false" customHeight="false" outlineLevel="0" collapsed="false">
      <c r="A340" s="12"/>
      <c r="B340" s="12"/>
      <c r="C340" s="12"/>
      <c r="D340" s="12"/>
      <c r="E340" s="12"/>
      <c r="F340" s="11" t="str">
        <f aca="false">IF(E340="","",IFERROR(INDEX(Unidades!$B$2:$B$218,MATCH(E340,Unidades!$A$2:$A$218,0)),"Código não encontrado"))</f>
        <v/>
      </c>
      <c r="G340" s="12"/>
      <c r="H340" s="11" t="str">
        <f aca="false">IF(A340="","",COUNTIF(Chamados!$J$2:$J$501,A340))</f>
        <v/>
      </c>
    </row>
    <row r="341" customFormat="false" ht="15" hidden="false" customHeight="false" outlineLevel="0" collapsed="false">
      <c r="A341" s="12"/>
      <c r="B341" s="12"/>
      <c r="C341" s="12"/>
      <c r="D341" s="12"/>
      <c r="E341" s="12"/>
      <c r="F341" s="11" t="str">
        <f aca="false">IF(E341="","",IFERROR(INDEX(Unidades!$B$2:$B$218,MATCH(E341,Unidades!$A$2:$A$218,0)),"Código não encontrado"))</f>
        <v/>
      </c>
      <c r="G341" s="12"/>
      <c r="H341" s="11" t="str">
        <f aca="false">IF(A341="","",COUNTIF(Chamados!$J$2:$J$501,A341))</f>
        <v/>
      </c>
    </row>
    <row r="342" customFormat="false" ht="15" hidden="false" customHeight="false" outlineLevel="0" collapsed="false">
      <c r="A342" s="12"/>
      <c r="B342" s="12"/>
      <c r="C342" s="12"/>
      <c r="D342" s="12"/>
      <c r="E342" s="12"/>
      <c r="F342" s="11" t="str">
        <f aca="false">IF(E342="","",IFERROR(INDEX(Unidades!$B$2:$B$218,MATCH(E342,Unidades!$A$2:$A$218,0)),"Código não encontrado"))</f>
        <v/>
      </c>
      <c r="G342" s="12"/>
      <c r="H342" s="11" t="str">
        <f aca="false">IF(A342="","",COUNTIF(Chamados!$J$2:$J$501,A342))</f>
        <v/>
      </c>
    </row>
    <row r="343" customFormat="false" ht="15" hidden="false" customHeight="false" outlineLevel="0" collapsed="false">
      <c r="A343" s="12"/>
      <c r="B343" s="12"/>
      <c r="C343" s="12"/>
      <c r="D343" s="12"/>
      <c r="E343" s="12"/>
      <c r="F343" s="11" t="str">
        <f aca="false">IF(E343="","",IFERROR(INDEX(Unidades!$B$2:$B$218,MATCH(E343,Unidades!$A$2:$A$218,0)),"Código não encontrado"))</f>
        <v/>
      </c>
      <c r="G343" s="12"/>
      <c r="H343" s="11" t="str">
        <f aca="false">IF(A343="","",COUNTIF(Chamados!$J$2:$J$501,A343))</f>
        <v/>
      </c>
    </row>
    <row r="344" customFormat="false" ht="15" hidden="false" customHeight="false" outlineLevel="0" collapsed="false">
      <c r="A344" s="12"/>
      <c r="B344" s="12"/>
      <c r="C344" s="12"/>
      <c r="D344" s="12"/>
      <c r="E344" s="12"/>
      <c r="F344" s="11" t="str">
        <f aca="false">IF(E344="","",IFERROR(INDEX(Unidades!$B$2:$B$218,MATCH(E344,Unidades!$A$2:$A$218,0)),"Código não encontrado"))</f>
        <v/>
      </c>
      <c r="G344" s="12"/>
      <c r="H344" s="11" t="str">
        <f aca="false">IF(A344="","",COUNTIF(Chamados!$J$2:$J$501,A344))</f>
        <v/>
      </c>
    </row>
    <row r="345" customFormat="false" ht="15" hidden="false" customHeight="false" outlineLevel="0" collapsed="false">
      <c r="A345" s="12"/>
      <c r="B345" s="12"/>
      <c r="C345" s="12"/>
      <c r="D345" s="12"/>
      <c r="E345" s="12"/>
      <c r="F345" s="11" t="str">
        <f aca="false">IF(E345="","",IFERROR(INDEX(Unidades!$B$2:$B$218,MATCH(E345,Unidades!$A$2:$A$218,0)),"Código não encontrado"))</f>
        <v/>
      </c>
      <c r="G345" s="12"/>
      <c r="H345" s="11" t="str">
        <f aca="false">IF(A345="","",COUNTIF(Chamados!$J$2:$J$501,A345))</f>
        <v/>
      </c>
    </row>
    <row r="346" customFormat="false" ht="15" hidden="false" customHeight="false" outlineLevel="0" collapsed="false">
      <c r="A346" s="12"/>
      <c r="B346" s="12"/>
      <c r="C346" s="12"/>
      <c r="D346" s="12"/>
      <c r="E346" s="12"/>
      <c r="F346" s="11" t="str">
        <f aca="false">IF(E346="","",IFERROR(INDEX(Unidades!$B$2:$B$218,MATCH(E346,Unidades!$A$2:$A$218,0)),"Código não encontrado"))</f>
        <v/>
      </c>
      <c r="G346" s="12"/>
      <c r="H346" s="11" t="str">
        <f aca="false">IF(A346="","",COUNTIF(Chamados!$J$2:$J$501,A346))</f>
        <v/>
      </c>
    </row>
    <row r="347" customFormat="false" ht="15" hidden="false" customHeight="false" outlineLevel="0" collapsed="false">
      <c r="A347" s="12"/>
      <c r="B347" s="12"/>
      <c r="C347" s="12"/>
      <c r="D347" s="12"/>
      <c r="E347" s="12"/>
      <c r="F347" s="11" t="str">
        <f aca="false">IF(E347="","",IFERROR(INDEX(Unidades!$B$2:$B$218,MATCH(E347,Unidades!$A$2:$A$218,0)),"Código não encontrado"))</f>
        <v/>
      </c>
      <c r="G347" s="12"/>
      <c r="H347" s="11" t="str">
        <f aca="false">IF(A347="","",COUNTIF(Chamados!$J$2:$J$501,A347))</f>
        <v/>
      </c>
    </row>
    <row r="348" customFormat="false" ht="15" hidden="false" customHeight="false" outlineLevel="0" collapsed="false">
      <c r="A348" s="12"/>
      <c r="B348" s="12"/>
      <c r="C348" s="12"/>
      <c r="D348" s="12"/>
      <c r="E348" s="12"/>
      <c r="F348" s="11" t="str">
        <f aca="false">IF(E348="","",IFERROR(INDEX(Unidades!$B$2:$B$218,MATCH(E348,Unidades!$A$2:$A$218,0)),"Código não encontrado"))</f>
        <v/>
      </c>
      <c r="G348" s="12"/>
      <c r="H348" s="11" t="str">
        <f aca="false">IF(A348="","",COUNTIF(Chamados!$J$2:$J$501,A348))</f>
        <v/>
      </c>
    </row>
    <row r="349" customFormat="false" ht="15" hidden="false" customHeight="false" outlineLevel="0" collapsed="false">
      <c r="A349" s="12"/>
      <c r="B349" s="12"/>
      <c r="C349" s="12"/>
      <c r="D349" s="12"/>
      <c r="E349" s="12"/>
      <c r="F349" s="11" t="str">
        <f aca="false">IF(E349="","",IFERROR(INDEX(Unidades!$B$2:$B$218,MATCH(E349,Unidades!$A$2:$A$218,0)),"Código não encontrado"))</f>
        <v/>
      </c>
      <c r="G349" s="12"/>
      <c r="H349" s="11" t="str">
        <f aca="false">IF(A349="","",COUNTIF(Chamados!$J$2:$J$501,A349))</f>
        <v/>
      </c>
    </row>
    <row r="350" customFormat="false" ht="15" hidden="false" customHeight="false" outlineLevel="0" collapsed="false">
      <c r="A350" s="12"/>
      <c r="B350" s="12"/>
      <c r="C350" s="12"/>
      <c r="D350" s="12"/>
      <c r="E350" s="12"/>
      <c r="F350" s="11" t="str">
        <f aca="false">IF(E350="","",IFERROR(INDEX(Unidades!$B$2:$B$218,MATCH(E350,Unidades!$A$2:$A$218,0)),"Código não encontrado"))</f>
        <v/>
      </c>
      <c r="G350" s="12"/>
      <c r="H350" s="11" t="str">
        <f aca="false">IF(A350="","",COUNTIF(Chamados!$J$2:$J$501,A350))</f>
        <v/>
      </c>
    </row>
    <row r="351" customFormat="false" ht="15" hidden="false" customHeight="false" outlineLevel="0" collapsed="false">
      <c r="A351" s="12"/>
      <c r="B351" s="12"/>
      <c r="C351" s="12"/>
      <c r="D351" s="12"/>
      <c r="E351" s="12"/>
      <c r="F351" s="11" t="str">
        <f aca="false">IF(E351="","",IFERROR(INDEX(Unidades!$B$2:$B$218,MATCH(E351,Unidades!$A$2:$A$218,0)),"Código não encontrado"))</f>
        <v/>
      </c>
      <c r="G351" s="12"/>
      <c r="H351" s="11" t="str">
        <f aca="false">IF(A351="","",COUNTIF(Chamados!$J$2:$J$501,A351))</f>
        <v/>
      </c>
    </row>
    <row r="352" customFormat="false" ht="15" hidden="false" customHeight="false" outlineLevel="0" collapsed="false">
      <c r="A352" s="12"/>
      <c r="B352" s="12"/>
      <c r="C352" s="12"/>
      <c r="D352" s="12"/>
      <c r="E352" s="12"/>
      <c r="F352" s="11" t="str">
        <f aca="false">IF(E352="","",IFERROR(INDEX(Unidades!$B$2:$B$218,MATCH(E352,Unidades!$A$2:$A$218,0)),"Código não encontrado"))</f>
        <v/>
      </c>
      <c r="G352" s="12"/>
      <c r="H352" s="11" t="str">
        <f aca="false">IF(A352="","",COUNTIF(Chamados!$J$2:$J$501,A352))</f>
        <v/>
      </c>
    </row>
    <row r="353" customFormat="false" ht="15" hidden="false" customHeight="false" outlineLevel="0" collapsed="false">
      <c r="A353" s="12"/>
      <c r="B353" s="12"/>
      <c r="C353" s="12"/>
      <c r="D353" s="12"/>
      <c r="E353" s="12"/>
      <c r="F353" s="11" t="str">
        <f aca="false">IF(E353="","",IFERROR(INDEX(Unidades!$B$2:$B$218,MATCH(E353,Unidades!$A$2:$A$218,0)),"Código não encontrado"))</f>
        <v/>
      </c>
      <c r="G353" s="12"/>
      <c r="H353" s="11" t="str">
        <f aca="false">IF(A353="","",COUNTIF(Chamados!$J$2:$J$501,A353))</f>
        <v/>
      </c>
    </row>
    <row r="354" customFormat="false" ht="15" hidden="false" customHeight="false" outlineLevel="0" collapsed="false">
      <c r="A354" s="12"/>
      <c r="B354" s="12"/>
      <c r="C354" s="12"/>
      <c r="D354" s="12"/>
      <c r="E354" s="12"/>
      <c r="F354" s="11" t="str">
        <f aca="false">IF(E354="","",IFERROR(INDEX(Unidades!$B$2:$B$218,MATCH(E354,Unidades!$A$2:$A$218,0)),"Código não encontrado"))</f>
        <v/>
      </c>
      <c r="G354" s="12"/>
      <c r="H354" s="11" t="str">
        <f aca="false">IF(A354="","",COUNTIF(Chamados!$J$2:$J$501,A354))</f>
        <v/>
      </c>
    </row>
    <row r="355" customFormat="false" ht="15" hidden="false" customHeight="false" outlineLevel="0" collapsed="false">
      <c r="A355" s="12"/>
      <c r="B355" s="12"/>
      <c r="C355" s="12"/>
      <c r="D355" s="12"/>
      <c r="E355" s="12"/>
      <c r="F355" s="11" t="str">
        <f aca="false">IF(E355="","",IFERROR(INDEX(Unidades!$B$2:$B$218,MATCH(E355,Unidades!$A$2:$A$218,0)),"Código não encontrado"))</f>
        <v/>
      </c>
      <c r="G355" s="12"/>
      <c r="H355" s="11" t="str">
        <f aca="false">IF(A355="","",COUNTIF(Chamados!$J$2:$J$501,A355))</f>
        <v/>
      </c>
    </row>
    <row r="356" customFormat="false" ht="15" hidden="false" customHeight="false" outlineLevel="0" collapsed="false">
      <c r="A356" s="12"/>
      <c r="B356" s="12"/>
      <c r="C356" s="12"/>
      <c r="D356" s="12"/>
      <c r="E356" s="12"/>
      <c r="F356" s="11" t="str">
        <f aca="false">IF(E356="","",IFERROR(INDEX(Unidades!$B$2:$B$218,MATCH(E356,Unidades!$A$2:$A$218,0)),"Código não encontrado"))</f>
        <v/>
      </c>
      <c r="G356" s="12"/>
      <c r="H356" s="11" t="str">
        <f aca="false">IF(A356="","",COUNTIF(Chamados!$J$2:$J$501,A356))</f>
        <v/>
      </c>
    </row>
    <row r="357" customFormat="false" ht="15" hidden="false" customHeight="false" outlineLevel="0" collapsed="false">
      <c r="A357" s="12"/>
      <c r="B357" s="12"/>
      <c r="C357" s="12"/>
      <c r="D357" s="12"/>
      <c r="E357" s="12"/>
      <c r="F357" s="11" t="str">
        <f aca="false">IF(E357="","",IFERROR(INDEX(Unidades!$B$2:$B$218,MATCH(E357,Unidades!$A$2:$A$218,0)),"Código não encontrado"))</f>
        <v/>
      </c>
      <c r="G357" s="12"/>
      <c r="H357" s="11" t="str">
        <f aca="false">IF(A357="","",COUNTIF(Chamados!$J$2:$J$501,A357))</f>
        <v/>
      </c>
    </row>
    <row r="358" customFormat="false" ht="15" hidden="false" customHeight="false" outlineLevel="0" collapsed="false">
      <c r="A358" s="12"/>
      <c r="B358" s="12"/>
      <c r="C358" s="12"/>
      <c r="D358" s="12"/>
      <c r="E358" s="12"/>
      <c r="F358" s="11" t="str">
        <f aca="false">IF(E358="","",IFERROR(INDEX(Unidades!$B$2:$B$218,MATCH(E358,Unidades!$A$2:$A$218,0)),"Código não encontrado"))</f>
        <v/>
      </c>
      <c r="G358" s="12"/>
      <c r="H358" s="11" t="str">
        <f aca="false">IF(A358="","",COUNTIF(Chamados!$J$2:$J$501,A358))</f>
        <v/>
      </c>
    </row>
    <row r="359" customFormat="false" ht="15" hidden="false" customHeight="false" outlineLevel="0" collapsed="false">
      <c r="A359" s="12"/>
      <c r="B359" s="12"/>
      <c r="C359" s="12"/>
      <c r="D359" s="12"/>
      <c r="E359" s="12"/>
      <c r="F359" s="11" t="str">
        <f aca="false">IF(E359="","",IFERROR(INDEX(Unidades!$B$2:$B$218,MATCH(E359,Unidades!$A$2:$A$218,0)),"Código não encontrado"))</f>
        <v/>
      </c>
      <c r="G359" s="12"/>
      <c r="H359" s="11" t="str">
        <f aca="false">IF(A359="","",COUNTIF(Chamados!$J$2:$J$501,A359))</f>
        <v/>
      </c>
    </row>
    <row r="360" customFormat="false" ht="15" hidden="false" customHeight="false" outlineLevel="0" collapsed="false">
      <c r="A360" s="12"/>
      <c r="B360" s="12"/>
      <c r="C360" s="12"/>
      <c r="D360" s="12"/>
      <c r="E360" s="12"/>
      <c r="F360" s="11" t="str">
        <f aca="false">IF(E360="","",IFERROR(INDEX(Unidades!$B$2:$B$218,MATCH(E360,Unidades!$A$2:$A$218,0)),"Código não encontrado"))</f>
        <v/>
      </c>
      <c r="G360" s="12"/>
      <c r="H360" s="11" t="str">
        <f aca="false">IF(A360="","",COUNTIF(Chamados!$J$2:$J$501,A360))</f>
        <v/>
      </c>
    </row>
    <row r="361" customFormat="false" ht="15" hidden="false" customHeight="false" outlineLevel="0" collapsed="false">
      <c r="A361" s="12"/>
      <c r="B361" s="12"/>
      <c r="C361" s="12"/>
      <c r="D361" s="12"/>
      <c r="E361" s="12"/>
      <c r="F361" s="11" t="str">
        <f aca="false">IF(E361="","",IFERROR(INDEX(Unidades!$B$2:$B$218,MATCH(E361,Unidades!$A$2:$A$218,0)),"Código não encontrado"))</f>
        <v/>
      </c>
      <c r="G361" s="12"/>
      <c r="H361" s="11" t="str">
        <f aca="false">IF(A361="","",COUNTIF(Chamados!$J$2:$J$501,A361))</f>
        <v/>
      </c>
    </row>
    <row r="362" customFormat="false" ht="15" hidden="false" customHeight="false" outlineLevel="0" collapsed="false">
      <c r="A362" s="12"/>
      <c r="B362" s="12"/>
      <c r="C362" s="12"/>
      <c r="D362" s="12"/>
      <c r="E362" s="12"/>
      <c r="F362" s="11" t="str">
        <f aca="false">IF(E362="","",IFERROR(INDEX(Unidades!$B$2:$B$218,MATCH(E362,Unidades!$A$2:$A$218,0)),"Código não encontrado"))</f>
        <v/>
      </c>
      <c r="G362" s="12"/>
      <c r="H362" s="11" t="str">
        <f aca="false">IF(A362="","",COUNTIF(Chamados!$J$2:$J$501,A362))</f>
        <v/>
      </c>
    </row>
    <row r="363" customFormat="false" ht="15" hidden="false" customHeight="false" outlineLevel="0" collapsed="false">
      <c r="A363" s="12"/>
      <c r="B363" s="12"/>
      <c r="C363" s="12"/>
      <c r="D363" s="12"/>
      <c r="E363" s="12"/>
      <c r="F363" s="11" t="str">
        <f aca="false">IF(E363="","",IFERROR(INDEX(Unidades!$B$2:$B$218,MATCH(E363,Unidades!$A$2:$A$218,0)),"Código não encontrado"))</f>
        <v/>
      </c>
      <c r="G363" s="12"/>
      <c r="H363" s="11" t="str">
        <f aca="false">IF(A363="","",COUNTIF(Chamados!$J$2:$J$501,A363))</f>
        <v/>
      </c>
    </row>
    <row r="364" customFormat="false" ht="15" hidden="false" customHeight="false" outlineLevel="0" collapsed="false">
      <c r="A364" s="12"/>
      <c r="B364" s="12"/>
      <c r="C364" s="12"/>
      <c r="D364" s="12"/>
      <c r="E364" s="12"/>
      <c r="F364" s="11" t="str">
        <f aca="false">IF(E364="","",IFERROR(INDEX(Unidades!$B$2:$B$218,MATCH(E364,Unidades!$A$2:$A$218,0)),"Código não encontrado"))</f>
        <v/>
      </c>
      <c r="G364" s="12"/>
      <c r="H364" s="11" t="str">
        <f aca="false">IF(A364="","",COUNTIF(Chamados!$J$2:$J$501,A364))</f>
        <v/>
      </c>
    </row>
    <row r="365" customFormat="false" ht="15" hidden="false" customHeight="false" outlineLevel="0" collapsed="false">
      <c r="A365" s="12"/>
      <c r="B365" s="12"/>
      <c r="C365" s="12"/>
      <c r="D365" s="12"/>
      <c r="E365" s="12"/>
      <c r="F365" s="11" t="str">
        <f aca="false">IF(E365="","",IFERROR(INDEX(Unidades!$B$2:$B$218,MATCH(E365,Unidades!$A$2:$A$218,0)),"Código não encontrado"))</f>
        <v/>
      </c>
      <c r="G365" s="12"/>
      <c r="H365" s="11" t="str">
        <f aca="false">IF(A365="","",COUNTIF(Chamados!$J$2:$J$501,A365))</f>
        <v/>
      </c>
    </row>
    <row r="366" customFormat="false" ht="15" hidden="false" customHeight="false" outlineLevel="0" collapsed="false">
      <c r="A366" s="12"/>
      <c r="B366" s="12"/>
      <c r="C366" s="12"/>
      <c r="D366" s="12"/>
      <c r="E366" s="12"/>
      <c r="F366" s="11" t="str">
        <f aca="false">IF(E366="","",IFERROR(INDEX(Unidades!$B$2:$B$218,MATCH(E366,Unidades!$A$2:$A$218,0)),"Código não encontrado"))</f>
        <v/>
      </c>
      <c r="G366" s="12"/>
      <c r="H366" s="11" t="str">
        <f aca="false">IF(A366="","",COUNTIF(Chamados!$J$2:$J$501,A366))</f>
        <v/>
      </c>
    </row>
    <row r="367" customFormat="false" ht="15" hidden="false" customHeight="false" outlineLevel="0" collapsed="false">
      <c r="A367" s="12"/>
      <c r="B367" s="12"/>
      <c r="C367" s="12"/>
      <c r="D367" s="12"/>
      <c r="E367" s="12"/>
      <c r="F367" s="11" t="str">
        <f aca="false">IF(E367="","",IFERROR(INDEX(Unidades!$B$2:$B$218,MATCH(E367,Unidades!$A$2:$A$218,0)),"Código não encontrado"))</f>
        <v/>
      </c>
      <c r="G367" s="12"/>
      <c r="H367" s="11" t="str">
        <f aca="false">IF(A367="","",COUNTIF(Chamados!$J$2:$J$501,A367))</f>
        <v/>
      </c>
    </row>
    <row r="368" customFormat="false" ht="15" hidden="false" customHeight="false" outlineLevel="0" collapsed="false">
      <c r="A368" s="12"/>
      <c r="B368" s="12"/>
      <c r="C368" s="12"/>
      <c r="D368" s="12"/>
      <c r="E368" s="12"/>
      <c r="F368" s="11" t="str">
        <f aca="false">IF(E368="","",IFERROR(INDEX(Unidades!$B$2:$B$218,MATCH(E368,Unidades!$A$2:$A$218,0)),"Código não encontrado"))</f>
        <v/>
      </c>
      <c r="G368" s="12"/>
      <c r="H368" s="11" t="str">
        <f aca="false">IF(A368="","",COUNTIF(Chamados!$J$2:$J$501,A368))</f>
        <v/>
      </c>
    </row>
    <row r="369" customFormat="false" ht="15" hidden="false" customHeight="false" outlineLevel="0" collapsed="false">
      <c r="A369" s="12"/>
      <c r="B369" s="12"/>
      <c r="C369" s="12"/>
      <c r="D369" s="12"/>
      <c r="E369" s="12"/>
      <c r="F369" s="11" t="str">
        <f aca="false">IF(E369="","",IFERROR(INDEX(Unidades!$B$2:$B$218,MATCH(E369,Unidades!$A$2:$A$218,0)),"Código não encontrado"))</f>
        <v/>
      </c>
      <c r="G369" s="12"/>
      <c r="H369" s="11" t="str">
        <f aca="false">IF(A369="","",COUNTIF(Chamados!$J$2:$J$501,A369))</f>
        <v/>
      </c>
    </row>
    <row r="370" customFormat="false" ht="15" hidden="false" customHeight="false" outlineLevel="0" collapsed="false">
      <c r="A370" s="12"/>
      <c r="B370" s="12"/>
      <c r="C370" s="12"/>
      <c r="D370" s="12"/>
      <c r="E370" s="12"/>
      <c r="F370" s="11" t="str">
        <f aca="false">IF(E370="","",IFERROR(INDEX(Unidades!$B$2:$B$218,MATCH(E370,Unidades!$A$2:$A$218,0)),"Código não encontrado"))</f>
        <v/>
      </c>
      <c r="G370" s="12"/>
      <c r="H370" s="11" t="str">
        <f aca="false">IF(A370="","",COUNTIF(Chamados!$J$2:$J$501,A370))</f>
        <v/>
      </c>
    </row>
    <row r="371" customFormat="false" ht="15" hidden="false" customHeight="false" outlineLevel="0" collapsed="false">
      <c r="A371" s="12"/>
      <c r="B371" s="12"/>
      <c r="C371" s="12"/>
      <c r="D371" s="12"/>
      <c r="E371" s="12"/>
      <c r="F371" s="11" t="str">
        <f aca="false">IF(E371="","",IFERROR(INDEX(Unidades!$B$2:$B$218,MATCH(E371,Unidades!$A$2:$A$218,0)),"Código não encontrado"))</f>
        <v/>
      </c>
      <c r="G371" s="12"/>
      <c r="H371" s="11" t="str">
        <f aca="false">IF(A371="","",COUNTIF(Chamados!$J$2:$J$501,A371))</f>
        <v/>
      </c>
    </row>
    <row r="372" customFormat="false" ht="15" hidden="false" customHeight="false" outlineLevel="0" collapsed="false">
      <c r="A372" s="12"/>
      <c r="B372" s="12"/>
      <c r="C372" s="12"/>
      <c r="D372" s="12"/>
      <c r="E372" s="12"/>
      <c r="F372" s="11" t="str">
        <f aca="false">IF(E372="","",IFERROR(INDEX(Unidades!$B$2:$B$218,MATCH(E372,Unidades!$A$2:$A$218,0)),"Código não encontrado"))</f>
        <v/>
      </c>
      <c r="G372" s="12"/>
      <c r="H372" s="11" t="str">
        <f aca="false">IF(A372="","",COUNTIF(Chamados!$J$2:$J$501,A372))</f>
        <v/>
      </c>
    </row>
    <row r="373" customFormat="false" ht="15" hidden="false" customHeight="false" outlineLevel="0" collapsed="false">
      <c r="A373" s="12"/>
      <c r="B373" s="12"/>
      <c r="C373" s="12"/>
      <c r="D373" s="12"/>
      <c r="E373" s="12"/>
      <c r="F373" s="11" t="str">
        <f aca="false">IF(E373="","",IFERROR(INDEX(Unidades!$B$2:$B$218,MATCH(E373,Unidades!$A$2:$A$218,0)),"Código não encontrado"))</f>
        <v/>
      </c>
      <c r="G373" s="12"/>
      <c r="H373" s="11" t="str">
        <f aca="false">IF(A373="","",COUNTIF(Chamados!$J$2:$J$501,A373))</f>
        <v/>
      </c>
    </row>
    <row r="374" customFormat="false" ht="15" hidden="false" customHeight="false" outlineLevel="0" collapsed="false">
      <c r="A374" s="12"/>
      <c r="B374" s="12"/>
      <c r="C374" s="12"/>
      <c r="D374" s="12"/>
      <c r="E374" s="12"/>
      <c r="F374" s="11" t="str">
        <f aca="false">IF(E374="","",IFERROR(INDEX(Unidades!$B$2:$B$218,MATCH(E374,Unidades!$A$2:$A$218,0)),"Código não encontrado"))</f>
        <v/>
      </c>
      <c r="G374" s="12"/>
      <c r="H374" s="11" t="str">
        <f aca="false">IF(A374="","",COUNTIF(Chamados!$J$2:$J$501,A374))</f>
        <v/>
      </c>
    </row>
    <row r="375" customFormat="false" ht="15" hidden="false" customHeight="false" outlineLevel="0" collapsed="false">
      <c r="A375" s="12"/>
      <c r="B375" s="12"/>
      <c r="C375" s="12"/>
      <c r="D375" s="12"/>
      <c r="E375" s="12"/>
      <c r="F375" s="11" t="str">
        <f aca="false">IF(E375="","",IFERROR(INDEX(Unidades!$B$2:$B$218,MATCH(E375,Unidades!$A$2:$A$218,0)),"Código não encontrado"))</f>
        <v/>
      </c>
      <c r="G375" s="12"/>
      <c r="H375" s="11" t="str">
        <f aca="false">IF(A375="","",COUNTIF(Chamados!$J$2:$J$501,A375))</f>
        <v/>
      </c>
    </row>
    <row r="376" customFormat="false" ht="15" hidden="false" customHeight="false" outlineLevel="0" collapsed="false">
      <c r="A376" s="12"/>
      <c r="B376" s="12"/>
      <c r="C376" s="12"/>
      <c r="D376" s="12"/>
      <c r="E376" s="12"/>
      <c r="F376" s="11" t="str">
        <f aca="false">IF(E376="","",IFERROR(INDEX(Unidades!$B$2:$B$218,MATCH(E376,Unidades!$A$2:$A$218,0)),"Código não encontrado"))</f>
        <v/>
      </c>
      <c r="G376" s="12"/>
      <c r="H376" s="11" t="str">
        <f aca="false">IF(A376="","",COUNTIF(Chamados!$J$2:$J$501,A376))</f>
        <v/>
      </c>
    </row>
    <row r="377" customFormat="false" ht="15" hidden="false" customHeight="false" outlineLevel="0" collapsed="false">
      <c r="A377" s="12"/>
      <c r="B377" s="12"/>
      <c r="C377" s="12"/>
      <c r="D377" s="12"/>
      <c r="E377" s="12"/>
      <c r="F377" s="11" t="str">
        <f aca="false">IF(E377="","",IFERROR(INDEX(Unidades!$B$2:$B$218,MATCH(E377,Unidades!$A$2:$A$218,0)),"Código não encontrado"))</f>
        <v/>
      </c>
      <c r="G377" s="12"/>
      <c r="H377" s="11" t="str">
        <f aca="false">IF(A377="","",COUNTIF(Chamados!$J$2:$J$501,A377))</f>
        <v/>
      </c>
    </row>
    <row r="378" customFormat="false" ht="15" hidden="false" customHeight="false" outlineLevel="0" collapsed="false">
      <c r="A378" s="12"/>
      <c r="B378" s="12"/>
      <c r="C378" s="12"/>
      <c r="D378" s="12"/>
      <c r="E378" s="12"/>
      <c r="F378" s="11" t="str">
        <f aca="false">IF(E378="","",IFERROR(INDEX(Unidades!$B$2:$B$218,MATCH(E378,Unidades!$A$2:$A$218,0)),"Código não encontrado"))</f>
        <v/>
      </c>
      <c r="G378" s="12"/>
      <c r="H378" s="11" t="str">
        <f aca="false">IF(A378="","",COUNTIF(Chamados!$J$2:$J$501,A378))</f>
        <v/>
      </c>
    </row>
    <row r="379" customFormat="false" ht="15" hidden="false" customHeight="false" outlineLevel="0" collapsed="false">
      <c r="A379" s="12"/>
      <c r="B379" s="12"/>
      <c r="C379" s="12"/>
      <c r="D379" s="12"/>
      <c r="E379" s="12"/>
      <c r="F379" s="11" t="str">
        <f aca="false">IF(E379="","",IFERROR(INDEX(Unidades!$B$2:$B$218,MATCH(E379,Unidades!$A$2:$A$218,0)),"Código não encontrado"))</f>
        <v/>
      </c>
      <c r="G379" s="12"/>
      <c r="H379" s="11" t="str">
        <f aca="false">IF(A379="","",COUNTIF(Chamados!$J$2:$J$501,A379))</f>
        <v/>
      </c>
    </row>
    <row r="380" customFormat="false" ht="15" hidden="false" customHeight="false" outlineLevel="0" collapsed="false">
      <c r="A380" s="12"/>
      <c r="B380" s="12"/>
      <c r="C380" s="12"/>
      <c r="D380" s="12"/>
      <c r="E380" s="12"/>
      <c r="F380" s="11" t="str">
        <f aca="false">IF(E380="","",IFERROR(INDEX(Unidades!$B$2:$B$218,MATCH(E380,Unidades!$A$2:$A$218,0)),"Código não encontrado"))</f>
        <v/>
      </c>
      <c r="G380" s="12"/>
      <c r="H380" s="11" t="str">
        <f aca="false">IF(A380="","",COUNTIF(Chamados!$J$2:$J$501,A380))</f>
        <v/>
      </c>
    </row>
    <row r="381" customFormat="false" ht="15" hidden="false" customHeight="false" outlineLevel="0" collapsed="false">
      <c r="A381" s="12"/>
      <c r="B381" s="12"/>
      <c r="C381" s="12"/>
      <c r="D381" s="12"/>
      <c r="E381" s="12"/>
      <c r="F381" s="11" t="str">
        <f aca="false">IF(E381="","",IFERROR(INDEX(Unidades!$B$2:$B$218,MATCH(E381,Unidades!$A$2:$A$218,0)),"Código não encontrado"))</f>
        <v/>
      </c>
      <c r="G381" s="12"/>
      <c r="H381" s="11" t="str">
        <f aca="false">IF(A381="","",COUNTIF(Chamados!$J$2:$J$501,A381))</f>
        <v/>
      </c>
    </row>
    <row r="382" customFormat="false" ht="15" hidden="false" customHeight="false" outlineLevel="0" collapsed="false">
      <c r="A382" s="12"/>
      <c r="B382" s="12"/>
      <c r="C382" s="12"/>
      <c r="D382" s="12"/>
      <c r="E382" s="12"/>
      <c r="F382" s="11" t="str">
        <f aca="false">IF(E382="","",IFERROR(INDEX(Unidades!$B$2:$B$218,MATCH(E382,Unidades!$A$2:$A$218,0)),"Código não encontrado"))</f>
        <v/>
      </c>
      <c r="G382" s="12"/>
      <c r="H382" s="11" t="str">
        <f aca="false">IF(A382="","",COUNTIF(Chamados!$J$2:$J$501,A382))</f>
        <v/>
      </c>
    </row>
    <row r="383" customFormat="false" ht="15" hidden="false" customHeight="false" outlineLevel="0" collapsed="false">
      <c r="A383" s="12"/>
      <c r="B383" s="12"/>
      <c r="C383" s="12"/>
      <c r="D383" s="12"/>
      <c r="E383" s="12"/>
      <c r="F383" s="11" t="str">
        <f aca="false">IF(E383="","",IFERROR(INDEX(Unidades!$B$2:$B$218,MATCH(E383,Unidades!$A$2:$A$218,0)),"Código não encontrado"))</f>
        <v/>
      </c>
      <c r="G383" s="12"/>
      <c r="H383" s="11" t="str">
        <f aca="false">IF(A383="","",COUNTIF(Chamados!$J$2:$J$501,A383))</f>
        <v/>
      </c>
    </row>
    <row r="384" customFormat="false" ht="15" hidden="false" customHeight="false" outlineLevel="0" collapsed="false">
      <c r="A384" s="12"/>
      <c r="B384" s="12"/>
      <c r="C384" s="12"/>
      <c r="D384" s="12"/>
      <c r="E384" s="12"/>
      <c r="F384" s="11" t="str">
        <f aca="false">IF(E384="","",IFERROR(INDEX(Unidades!$B$2:$B$218,MATCH(E384,Unidades!$A$2:$A$218,0)),"Código não encontrado"))</f>
        <v/>
      </c>
      <c r="G384" s="12"/>
      <c r="H384" s="11" t="str">
        <f aca="false">IF(A384="","",COUNTIF(Chamados!$J$2:$J$501,A384))</f>
        <v/>
      </c>
    </row>
    <row r="385" customFormat="false" ht="15" hidden="false" customHeight="false" outlineLevel="0" collapsed="false">
      <c r="A385" s="12"/>
      <c r="B385" s="12"/>
      <c r="C385" s="12"/>
      <c r="D385" s="12"/>
      <c r="E385" s="12"/>
      <c r="F385" s="11" t="str">
        <f aca="false">IF(E385="","",IFERROR(INDEX(Unidades!$B$2:$B$218,MATCH(E385,Unidades!$A$2:$A$218,0)),"Código não encontrado"))</f>
        <v/>
      </c>
      <c r="G385" s="12"/>
      <c r="H385" s="11" t="str">
        <f aca="false">IF(A385="","",COUNTIF(Chamados!$J$2:$J$501,A385))</f>
        <v/>
      </c>
    </row>
    <row r="386" customFormat="false" ht="15" hidden="false" customHeight="false" outlineLevel="0" collapsed="false">
      <c r="A386" s="12"/>
      <c r="B386" s="12"/>
      <c r="C386" s="12"/>
      <c r="D386" s="12"/>
      <c r="E386" s="12"/>
      <c r="F386" s="11" t="str">
        <f aca="false">IF(E386="","",IFERROR(INDEX(Unidades!$B$2:$B$218,MATCH(E386,Unidades!$A$2:$A$218,0)),"Código não encontrado"))</f>
        <v/>
      </c>
      <c r="G386" s="12"/>
      <c r="H386" s="11" t="str">
        <f aca="false">IF(A386="","",COUNTIF(Chamados!$J$2:$J$501,A386))</f>
        <v/>
      </c>
    </row>
    <row r="387" customFormat="false" ht="15" hidden="false" customHeight="false" outlineLevel="0" collapsed="false">
      <c r="A387" s="12"/>
      <c r="B387" s="12"/>
      <c r="C387" s="12"/>
      <c r="D387" s="12"/>
      <c r="E387" s="12"/>
      <c r="F387" s="11" t="str">
        <f aca="false">IF(E387="","",IFERROR(INDEX(Unidades!$B$2:$B$218,MATCH(E387,Unidades!$A$2:$A$218,0)),"Código não encontrado"))</f>
        <v/>
      </c>
      <c r="G387" s="12"/>
      <c r="H387" s="11" t="str">
        <f aca="false">IF(A387="","",COUNTIF(Chamados!$J$2:$J$501,A387))</f>
        <v/>
      </c>
    </row>
    <row r="388" customFormat="false" ht="15" hidden="false" customHeight="false" outlineLevel="0" collapsed="false">
      <c r="A388" s="12"/>
      <c r="B388" s="12"/>
      <c r="C388" s="12"/>
      <c r="D388" s="12"/>
      <c r="E388" s="12"/>
      <c r="F388" s="11" t="str">
        <f aca="false">IF(E388="","",IFERROR(INDEX(Unidades!$B$2:$B$218,MATCH(E388,Unidades!$A$2:$A$218,0)),"Código não encontrado"))</f>
        <v/>
      </c>
      <c r="G388" s="12"/>
      <c r="H388" s="11" t="str">
        <f aca="false">IF(A388="","",COUNTIF(Chamados!$J$2:$J$501,A388))</f>
        <v/>
      </c>
    </row>
    <row r="389" customFormat="false" ht="15" hidden="false" customHeight="false" outlineLevel="0" collapsed="false">
      <c r="A389" s="12"/>
      <c r="B389" s="12"/>
      <c r="C389" s="12"/>
      <c r="D389" s="12"/>
      <c r="E389" s="12"/>
      <c r="F389" s="11" t="str">
        <f aca="false">IF(E389="","",IFERROR(INDEX(Unidades!$B$2:$B$218,MATCH(E389,Unidades!$A$2:$A$218,0)),"Código não encontrado"))</f>
        <v/>
      </c>
      <c r="G389" s="12"/>
      <c r="H389" s="11" t="str">
        <f aca="false">IF(A389="","",COUNTIF(Chamados!$J$2:$J$501,A389))</f>
        <v/>
      </c>
    </row>
    <row r="390" customFormat="false" ht="15" hidden="false" customHeight="false" outlineLevel="0" collapsed="false">
      <c r="A390" s="12"/>
      <c r="B390" s="12"/>
      <c r="C390" s="12"/>
      <c r="D390" s="12"/>
      <c r="E390" s="12"/>
      <c r="F390" s="11" t="str">
        <f aca="false">IF(E390="","",IFERROR(INDEX(Unidades!$B$2:$B$218,MATCH(E390,Unidades!$A$2:$A$218,0)),"Código não encontrado"))</f>
        <v/>
      </c>
      <c r="G390" s="12"/>
      <c r="H390" s="11" t="str">
        <f aca="false">IF(A390="","",COUNTIF(Chamados!$J$2:$J$501,A390))</f>
        <v/>
      </c>
    </row>
    <row r="391" customFormat="false" ht="15" hidden="false" customHeight="false" outlineLevel="0" collapsed="false">
      <c r="A391" s="12"/>
      <c r="B391" s="12"/>
      <c r="C391" s="12"/>
      <c r="D391" s="12"/>
      <c r="E391" s="12"/>
      <c r="F391" s="11" t="str">
        <f aca="false">IF(E391="","",IFERROR(INDEX(Unidades!$B$2:$B$218,MATCH(E391,Unidades!$A$2:$A$218,0)),"Código não encontrado"))</f>
        <v/>
      </c>
      <c r="G391" s="12"/>
      <c r="H391" s="11" t="str">
        <f aca="false">IF(A391="","",COUNTIF(Chamados!$J$2:$J$501,A391))</f>
        <v/>
      </c>
    </row>
    <row r="392" customFormat="false" ht="15" hidden="false" customHeight="false" outlineLevel="0" collapsed="false">
      <c r="A392" s="12"/>
      <c r="B392" s="12"/>
      <c r="C392" s="12"/>
      <c r="D392" s="12"/>
      <c r="E392" s="12"/>
      <c r="F392" s="11" t="str">
        <f aca="false">IF(E392="","",IFERROR(INDEX(Unidades!$B$2:$B$218,MATCH(E392,Unidades!$A$2:$A$218,0)),"Código não encontrado"))</f>
        <v/>
      </c>
      <c r="G392" s="12"/>
      <c r="H392" s="11" t="str">
        <f aca="false">IF(A392="","",COUNTIF(Chamados!$J$2:$J$501,A392))</f>
        <v/>
      </c>
    </row>
    <row r="393" customFormat="false" ht="15" hidden="false" customHeight="false" outlineLevel="0" collapsed="false">
      <c r="A393" s="12"/>
      <c r="B393" s="12"/>
      <c r="C393" s="12"/>
      <c r="D393" s="12"/>
      <c r="E393" s="12"/>
      <c r="F393" s="11" t="str">
        <f aca="false">IF(E393="","",IFERROR(INDEX(Unidades!$B$2:$B$218,MATCH(E393,Unidades!$A$2:$A$218,0)),"Código não encontrado"))</f>
        <v/>
      </c>
      <c r="G393" s="12"/>
      <c r="H393" s="11" t="str">
        <f aca="false">IF(A393="","",COUNTIF(Chamados!$J$2:$J$501,A393))</f>
        <v/>
      </c>
    </row>
    <row r="394" customFormat="false" ht="15" hidden="false" customHeight="false" outlineLevel="0" collapsed="false">
      <c r="A394" s="12"/>
      <c r="B394" s="12"/>
      <c r="C394" s="12"/>
      <c r="D394" s="12"/>
      <c r="E394" s="12"/>
      <c r="F394" s="11" t="str">
        <f aca="false">IF(E394="","",IFERROR(INDEX(Unidades!$B$2:$B$218,MATCH(E394,Unidades!$A$2:$A$218,0)),"Código não encontrado"))</f>
        <v/>
      </c>
      <c r="G394" s="12"/>
      <c r="H394" s="11" t="str">
        <f aca="false">IF(A394="","",COUNTIF(Chamados!$J$2:$J$501,A394))</f>
        <v/>
      </c>
    </row>
    <row r="395" customFormat="false" ht="15" hidden="false" customHeight="false" outlineLevel="0" collapsed="false">
      <c r="A395" s="12"/>
      <c r="B395" s="12"/>
      <c r="C395" s="12"/>
      <c r="D395" s="12"/>
      <c r="E395" s="12"/>
      <c r="F395" s="11" t="str">
        <f aca="false">IF(E395="","",IFERROR(INDEX(Unidades!$B$2:$B$218,MATCH(E395,Unidades!$A$2:$A$218,0)),"Código não encontrado"))</f>
        <v/>
      </c>
      <c r="G395" s="12"/>
      <c r="H395" s="11" t="str">
        <f aca="false">IF(A395="","",COUNTIF(Chamados!$J$2:$J$501,A395))</f>
        <v/>
      </c>
    </row>
    <row r="396" customFormat="false" ht="15" hidden="false" customHeight="false" outlineLevel="0" collapsed="false">
      <c r="A396" s="12"/>
      <c r="B396" s="12"/>
      <c r="C396" s="12"/>
      <c r="D396" s="12"/>
      <c r="E396" s="12"/>
      <c r="F396" s="11" t="str">
        <f aca="false">IF(E396="","",IFERROR(INDEX(Unidades!$B$2:$B$218,MATCH(E396,Unidades!$A$2:$A$218,0)),"Código não encontrado"))</f>
        <v/>
      </c>
      <c r="G396" s="12"/>
      <c r="H396" s="11" t="str">
        <f aca="false">IF(A396="","",COUNTIF(Chamados!$J$2:$J$501,A396))</f>
        <v/>
      </c>
    </row>
    <row r="397" customFormat="false" ht="15" hidden="false" customHeight="false" outlineLevel="0" collapsed="false">
      <c r="A397" s="12"/>
      <c r="B397" s="12"/>
      <c r="C397" s="12"/>
      <c r="D397" s="12"/>
      <c r="E397" s="12"/>
      <c r="F397" s="11" t="str">
        <f aca="false">IF(E397="","",IFERROR(INDEX(Unidades!$B$2:$B$218,MATCH(E397,Unidades!$A$2:$A$218,0)),"Código não encontrado"))</f>
        <v/>
      </c>
      <c r="G397" s="12"/>
      <c r="H397" s="11" t="str">
        <f aca="false">IF(A397="","",COUNTIF(Chamados!$J$2:$J$501,A397))</f>
        <v/>
      </c>
    </row>
    <row r="398" customFormat="false" ht="15" hidden="false" customHeight="false" outlineLevel="0" collapsed="false">
      <c r="A398" s="12"/>
      <c r="B398" s="12"/>
      <c r="C398" s="12"/>
      <c r="D398" s="12"/>
      <c r="E398" s="12"/>
      <c r="F398" s="11" t="str">
        <f aca="false">IF(E398="","",IFERROR(INDEX(Unidades!$B$2:$B$218,MATCH(E398,Unidades!$A$2:$A$218,0)),"Código não encontrado"))</f>
        <v/>
      </c>
      <c r="G398" s="12"/>
      <c r="H398" s="11" t="str">
        <f aca="false">IF(A398="","",COUNTIF(Chamados!$J$2:$J$501,A398))</f>
        <v/>
      </c>
    </row>
    <row r="399" customFormat="false" ht="15" hidden="false" customHeight="false" outlineLevel="0" collapsed="false">
      <c r="A399" s="12"/>
      <c r="B399" s="12"/>
      <c r="C399" s="12"/>
      <c r="D399" s="12"/>
      <c r="E399" s="12"/>
      <c r="F399" s="11" t="str">
        <f aca="false">IF(E399="","",IFERROR(INDEX(Unidades!$B$2:$B$218,MATCH(E399,Unidades!$A$2:$A$218,0)),"Código não encontrado"))</f>
        <v/>
      </c>
      <c r="G399" s="12"/>
      <c r="H399" s="11" t="str">
        <f aca="false">IF(A399="","",COUNTIF(Chamados!$J$2:$J$501,A399))</f>
        <v/>
      </c>
    </row>
    <row r="400" customFormat="false" ht="15" hidden="false" customHeight="false" outlineLevel="0" collapsed="false">
      <c r="A400" s="12"/>
      <c r="B400" s="12"/>
      <c r="C400" s="12"/>
      <c r="D400" s="12"/>
      <c r="E400" s="12"/>
      <c r="F400" s="11" t="str">
        <f aca="false">IF(E400="","",IFERROR(INDEX(Unidades!$B$2:$B$218,MATCH(E400,Unidades!$A$2:$A$218,0)),"Código não encontrado"))</f>
        <v/>
      </c>
      <c r="G400" s="12"/>
      <c r="H400" s="11" t="str">
        <f aca="false">IF(A400="","",COUNTIF(Chamados!$J$2:$J$501,A400))</f>
        <v/>
      </c>
    </row>
    <row r="401" customFormat="false" ht="15" hidden="false" customHeight="false" outlineLevel="0" collapsed="false">
      <c r="A401" s="12"/>
      <c r="B401" s="12"/>
      <c r="C401" s="12"/>
      <c r="D401" s="12"/>
      <c r="E401" s="12"/>
      <c r="F401" s="11" t="str">
        <f aca="false">IF(E401="","",IFERROR(INDEX(Unidades!$B$2:$B$218,MATCH(E401,Unidades!$A$2:$A$218,0)),"Código não encontrado"))</f>
        <v/>
      </c>
      <c r="G401" s="12"/>
      <c r="H401" s="11" t="str">
        <f aca="false">IF(A401="","",COUNTIF(Chamados!$J$2:$J$501,A401))</f>
        <v/>
      </c>
    </row>
    <row r="402" customFormat="false" ht="15" hidden="false" customHeight="false" outlineLevel="0" collapsed="false">
      <c r="A402" s="12"/>
      <c r="B402" s="12"/>
      <c r="C402" s="12"/>
      <c r="D402" s="12"/>
      <c r="E402" s="12"/>
      <c r="F402" s="11" t="str">
        <f aca="false">IF(E402="","",IFERROR(INDEX(Unidades!$B$2:$B$218,MATCH(E402,Unidades!$A$2:$A$218,0)),"Código não encontrado"))</f>
        <v/>
      </c>
      <c r="G402" s="12"/>
      <c r="H402" s="11" t="str">
        <f aca="false">IF(A402="","",COUNTIF(Chamados!$J$2:$J$501,A402))</f>
        <v/>
      </c>
    </row>
    <row r="403" customFormat="false" ht="15" hidden="false" customHeight="false" outlineLevel="0" collapsed="false">
      <c r="A403" s="12"/>
      <c r="B403" s="12"/>
      <c r="C403" s="12"/>
      <c r="D403" s="12"/>
      <c r="E403" s="12"/>
      <c r="F403" s="11" t="str">
        <f aca="false">IF(E403="","",IFERROR(INDEX(Unidades!$B$2:$B$218,MATCH(E403,Unidades!$A$2:$A$218,0)),"Código não encontrado"))</f>
        <v/>
      </c>
      <c r="G403" s="12"/>
      <c r="H403" s="11" t="str">
        <f aca="false">IF(A403="","",COUNTIF(Chamados!$J$2:$J$501,A403))</f>
        <v/>
      </c>
    </row>
    <row r="404" customFormat="false" ht="15" hidden="false" customHeight="false" outlineLevel="0" collapsed="false">
      <c r="A404" s="12"/>
      <c r="B404" s="12"/>
      <c r="C404" s="12"/>
      <c r="D404" s="12"/>
      <c r="E404" s="12"/>
      <c r="F404" s="11" t="str">
        <f aca="false">IF(E404="","",IFERROR(INDEX(Unidades!$B$2:$B$218,MATCH(E404,Unidades!$A$2:$A$218,0)),"Código não encontrado"))</f>
        <v/>
      </c>
      <c r="G404" s="12"/>
      <c r="H404" s="11" t="str">
        <f aca="false">IF(A404="","",COUNTIF(Chamados!$J$2:$J$501,A404))</f>
        <v/>
      </c>
    </row>
    <row r="405" customFormat="false" ht="15" hidden="false" customHeight="false" outlineLevel="0" collapsed="false">
      <c r="A405" s="12"/>
      <c r="B405" s="12"/>
      <c r="C405" s="12"/>
      <c r="D405" s="12"/>
      <c r="E405" s="12"/>
      <c r="F405" s="11" t="str">
        <f aca="false">IF(E405="","",IFERROR(INDEX(Unidades!$B$2:$B$218,MATCH(E405,Unidades!$A$2:$A$218,0)),"Código não encontrado"))</f>
        <v/>
      </c>
      <c r="G405" s="12"/>
      <c r="H405" s="11" t="str">
        <f aca="false">IF(A405="","",COUNTIF(Chamados!$J$2:$J$501,A405))</f>
        <v/>
      </c>
    </row>
    <row r="406" customFormat="false" ht="15" hidden="false" customHeight="false" outlineLevel="0" collapsed="false">
      <c r="A406" s="12"/>
      <c r="B406" s="12"/>
      <c r="C406" s="12"/>
      <c r="D406" s="12"/>
      <c r="E406" s="12"/>
      <c r="F406" s="11" t="str">
        <f aca="false">IF(E406="","",IFERROR(INDEX(Unidades!$B$2:$B$218,MATCH(E406,Unidades!$A$2:$A$218,0)),"Código não encontrado"))</f>
        <v/>
      </c>
      <c r="G406" s="12"/>
      <c r="H406" s="11" t="str">
        <f aca="false">IF(A406="","",COUNTIF(Chamados!$J$2:$J$501,A406))</f>
        <v/>
      </c>
    </row>
    <row r="407" customFormat="false" ht="15" hidden="false" customHeight="false" outlineLevel="0" collapsed="false">
      <c r="A407" s="12"/>
      <c r="B407" s="12"/>
      <c r="C407" s="12"/>
      <c r="D407" s="12"/>
      <c r="E407" s="12"/>
      <c r="F407" s="11" t="str">
        <f aca="false">IF(E407="","",IFERROR(INDEX(Unidades!$B$2:$B$218,MATCH(E407,Unidades!$A$2:$A$218,0)),"Código não encontrado"))</f>
        <v/>
      </c>
      <c r="G407" s="12"/>
      <c r="H407" s="11" t="str">
        <f aca="false">IF(A407="","",COUNTIF(Chamados!$J$2:$J$501,A407))</f>
        <v/>
      </c>
    </row>
    <row r="408" customFormat="false" ht="15" hidden="false" customHeight="false" outlineLevel="0" collapsed="false">
      <c r="A408" s="12"/>
      <c r="B408" s="12"/>
      <c r="C408" s="12"/>
      <c r="D408" s="12"/>
      <c r="E408" s="12"/>
      <c r="F408" s="11" t="str">
        <f aca="false">IF(E408="","",IFERROR(INDEX(Unidades!$B$2:$B$218,MATCH(E408,Unidades!$A$2:$A$218,0)),"Código não encontrado"))</f>
        <v/>
      </c>
      <c r="G408" s="12"/>
      <c r="H408" s="11" t="str">
        <f aca="false">IF(A408="","",COUNTIF(Chamados!$J$2:$J$501,A408))</f>
        <v/>
      </c>
    </row>
    <row r="409" customFormat="false" ht="15" hidden="false" customHeight="false" outlineLevel="0" collapsed="false">
      <c r="A409" s="12"/>
      <c r="B409" s="12"/>
      <c r="C409" s="12"/>
      <c r="D409" s="12"/>
      <c r="E409" s="12"/>
      <c r="F409" s="11" t="str">
        <f aca="false">IF(E409="","",IFERROR(INDEX(Unidades!$B$2:$B$218,MATCH(E409,Unidades!$A$2:$A$218,0)),"Código não encontrado"))</f>
        <v/>
      </c>
      <c r="G409" s="12"/>
      <c r="H409" s="11" t="str">
        <f aca="false">IF(A409="","",COUNTIF(Chamados!$J$2:$J$501,A409))</f>
        <v/>
      </c>
    </row>
    <row r="410" customFormat="false" ht="15" hidden="false" customHeight="false" outlineLevel="0" collapsed="false">
      <c r="A410" s="12"/>
      <c r="B410" s="12"/>
      <c r="C410" s="12"/>
      <c r="D410" s="12"/>
      <c r="E410" s="12"/>
      <c r="F410" s="11" t="str">
        <f aca="false">IF(E410="","",IFERROR(INDEX(Unidades!$B$2:$B$218,MATCH(E410,Unidades!$A$2:$A$218,0)),"Código não encontrado"))</f>
        <v/>
      </c>
      <c r="G410" s="12"/>
      <c r="H410" s="11" t="str">
        <f aca="false">IF(A410="","",COUNTIF(Chamados!$J$2:$J$501,A410))</f>
        <v/>
      </c>
    </row>
    <row r="411" customFormat="false" ht="15" hidden="false" customHeight="false" outlineLevel="0" collapsed="false">
      <c r="A411" s="12"/>
      <c r="B411" s="12"/>
      <c r="C411" s="12"/>
      <c r="D411" s="12"/>
      <c r="E411" s="12"/>
      <c r="F411" s="11" t="str">
        <f aca="false">IF(E411="","",IFERROR(INDEX(Unidades!$B$2:$B$218,MATCH(E411,Unidades!$A$2:$A$218,0)),"Código não encontrado"))</f>
        <v/>
      </c>
      <c r="G411" s="12"/>
      <c r="H411" s="11" t="str">
        <f aca="false">IF(A411="","",COUNTIF(Chamados!$J$2:$J$501,A411))</f>
        <v/>
      </c>
    </row>
    <row r="412" customFormat="false" ht="15" hidden="false" customHeight="false" outlineLevel="0" collapsed="false">
      <c r="A412" s="12"/>
      <c r="B412" s="12"/>
      <c r="C412" s="12"/>
      <c r="D412" s="12"/>
      <c r="E412" s="12"/>
      <c r="F412" s="11" t="str">
        <f aca="false">IF(E412="","",IFERROR(INDEX(Unidades!$B$2:$B$218,MATCH(E412,Unidades!$A$2:$A$218,0)),"Código não encontrado"))</f>
        <v/>
      </c>
      <c r="G412" s="12"/>
      <c r="H412" s="11" t="str">
        <f aca="false">IF(A412="","",COUNTIF(Chamados!$J$2:$J$501,A412))</f>
        <v/>
      </c>
    </row>
    <row r="413" customFormat="false" ht="15" hidden="false" customHeight="false" outlineLevel="0" collapsed="false">
      <c r="A413" s="12"/>
      <c r="B413" s="12"/>
      <c r="C413" s="12"/>
      <c r="D413" s="12"/>
      <c r="E413" s="12"/>
      <c r="F413" s="11" t="str">
        <f aca="false">IF(E413="","",IFERROR(INDEX(Unidades!$B$2:$B$218,MATCH(E413,Unidades!$A$2:$A$218,0)),"Código não encontrado"))</f>
        <v/>
      </c>
      <c r="G413" s="12"/>
      <c r="H413" s="11" t="str">
        <f aca="false">IF(A413="","",COUNTIF(Chamados!$J$2:$J$501,A413))</f>
        <v/>
      </c>
    </row>
    <row r="414" customFormat="false" ht="15" hidden="false" customHeight="false" outlineLevel="0" collapsed="false">
      <c r="A414" s="12"/>
      <c r="B414" s="12"/>
      <c r="C414" s="12"/>
      <c r="D414" s="12"/>
      <c r="E414" s="12"/>
      <c r="F414" s="11" t="str">
        <f aca="false">IF(E414="","",IFERROR(INDEX(Unidades!$B$2:$B$218,MATCH(E414,Unidades!$A$2:$A$218,0)),"Código não encontrado"))</f>
        <v/>
      </c>
      <c r="G414" s="12"/>
      <c r="H414" s="11" t="str">
        <f aca="false">IF(A414="","",COUNTIF(Chamados!$J$2:$J$501,A414))</f>
        <v/>
      </c>
    </row>
    <row r="415" customFormat="false" ht="15" hidden="false" customHeight="false" outlineLevel="0" collapsed="false">
      <c r="A415" s="12"/>
      <c r="B415" s="12"/>
      <c r="C415" s="12"/>
      <c r="D415" s="12"/>
      <c r="E415" s="12"/>
      <c r="F415" s="11" t="str">
        <f aca="false">IF(E415="","",IFERROR(INDEX(Unidades!$B$2:$B$218,MATCH(E415,Unidades!$A$2:$A$218,0)),"Código não encontrado"))</f>
        <v/>
      </c>
      <c r="G415" s="12"/>
      <c r="H415" s="11" t="str">
        <f aca="false">IF(A415="","",COUNTIF(Chamados!$J$2:$J$501,A415))</f>
        <v/>
      </c>
    </row>
    <row r="416" customFormat="false" ht="15" hidden="false" customHeight="false" outlineLevel="0" collapsed="false">
      <c r="A416" s="12"/>
      <c r="B416" s="12"/>
      <c r="C416" s="12"/>
      <c r="D416" s="12"/>
      <c r="E416" s="12"/>
      <c r="F416" s="11" t="str">
        <f aca="false">IF(E416="","",IFERROR(INDEX(Unidades!$B$2:$B$218,MATCH(E416,Unidades!$A$2:$A$218,0)),"Código não encontrado"))</f>
        <v/>
      </c>
      <c r="G416" s="12"/>
      <c r="H416" s="11" t="str">
        <f aca="false">IF(A416="","",COUNTIF(Chamados!$J$2:$J$501,A416))</f>
        <v/>
      </c>
    </row>
    <row r="417" customFormat="false" ht="15" hidden="false" customHeight="false" outlineLevel="0" collapsed="false">
      <c r="A417" s="12"/>
      <c r="B417" s="12"/>
      <c r="C417" s="12"/>
      <c r="D417" s="12"/>
      <c r="E417" s="12"/>
      <c r="F417" s="11" t="str">
        <f aca="false">IF(E417="","",IFERROR(INDEX(Unidades!$B$2:$B$218,MATCH(E417,Unidades!$A$2:$A$218,0)),"Código não encontrado"))</f>
        <v/>
      </c>
      <c r="G417" s="12"/>
      <c r="H417" s="11" t="str">
        <f aca="false">IF(A417="","",COUNTIF(Chamados!$J$2:$J$501,A417))</f>
        <v/>
      </c>
    </row>
    <row r="418" customFormat="false" ht="15" hidden="false" customHeight="false" outlineLevel="0" collapsed="false">
      <c r="A418" s="12"/>
      <c r="B418" s="12"/>
      <c r="C418" s="12"/>
      <c r="D418" s="12"/>
      <c r="E418" s="12"/>
      <c r="F418" s="11" t="str">
        <f aca="false">IF(E418="","",IFERROR(INDEX(Unidades!$B$2:$B$218,MATCH(E418,Unidades!$A$2:$A$218,0)),"Código não encontrado"))</f>
        <v/>
      </c>
      <c r="G418" s="12"/>
      <c r="H418" s="11" t="str">
        <f aca="false">IF(A418="","",COUNTIF(Chamados!$J$2:$J$501,A418))</f>
        <v/>
      </c>
    </row>
    <row r="419" customFormat="false" ht="15" hidden="false" customHeight="false" outlineLevel="0" collapsed="false">
      <c r="A419" s="12"/>
      <c r="B419" s="12"/>
      <c r="C419" s="12"/>
      <c r="D419" s="12"/>
      <c r="E419" s="12"/>
      <c r="F419" s="11" t="str">
        <f aca="false">IF(E419="","",IFERROR(INDEX(Unidades!$B$2:$B$218,MATCH(E419,Unidades!$A$2:$A$218,0)),"Código não encontrado"))</f>
        <v/>
      </c>
      <c r="G419" s="12"/>
      <c r="H419" s="11" t="str">
        <f aca="false">IF(A419="","",COUNTIF(Chamados!$J$2:$J$501,A419))</f>
        <v/>
      </c>
    </row>
    <row r="420" customFormat="false" ht="15" hidden="false" customHeight="false" outlineLevel="0" collapsed="false">
      <c r="A420" s="12"/>
      <c r="B420" s="12"/>
      <c r="C420" s="12"/>
      <c r="D420" s="12"/>
      <c r="E420" s="12"/>
      <c r="F420" s="11" t="str">
        <f aca="false">IF(E420="","",IFERROR(INDEX(Unidades!$B$2:$B$218,MATCH(E420,Unidades!$A$2:$A$218,0)),"Código não encontrado"))</f>
        <v/>
      </c>
      <c r="G420" s="12"/>
      <c r="H420" s="11" t="str">
        <f aca="false">IF(A420="","",COUNTIF(Chamados!$J$2:$J$501,A420))</f>
        <v/>
      </c>
    </row>
    <row r="421" customFormat="false" ht="15" hidden="false" customHeight="false" outlineLevel="0" collapsed="false">
      <c r="A421" s="12"/>
      <c r="B421" s="12"/>
      <c r="C421" s="12"/>
      <c r="D421" s="12"/>
      <c r="E421" s="12"/>
      <c r="F421" s="11" t="str">
        <f aca="false">IF(E421="","",IFERROR(INDEX(Unidades!$B$2:$B$218,MATCH(E421,Unidades!$A$2:$A$218,0)),"Código não encontrado"))</f>
        <v/>
      </c>
      <c r="G421" s="12"/>
      <c r="H421" s="11" t="str">
        <f aca="false">IF(A421="","",COUNTIF(Chamados!$J$2:$J$501,A421))</f>
        <v/>
      </c>
    </row>
    <row r="422" customFormat="false" ht="15" hidden="false" customHeight="false" outlineLevel="0" collapsed="false">
      <c r="A422" s="12"/>
      <c r="B422" s="12"/>
      <c r="C422" s="12"/>
      <c r="D422" s="12"/>
      <c r="E422" s="12"/>
      <c r="F422" s="11" t="str">
        <f aca="false">IF(E422="","",IFERROR(INDEX(Unidades!$B$2:$B$218,MATCH(E422,Unidades!$A$2:$A$218,0)),"Código não encontrado"))</f>
        <v/>
      </c>
      <c r="G422" s="12"/>
      <c r="H422" s="11" t="str">
        <f aca="false">IF(A422="","",COUNTIF(Chamados!$J$2:$J$501,A422))</f>
        <v/>
      </c>
    </row>
    <row r="423" customFormat="false" ht="15" hidden="false" customHeight="false" outlineLevel="0" collapsed="false">
      <c r="A423" s="12"/>
      <c r="B423" s="12"/>
      <c r="C423" s="12"/>
      <c r="D423" s="12"/>
      <c r="E423" s="12"/>
      <c r="F423" s="11" t="str">
        <f aca="false">IF(E423="","",IFERROR(INDEX(Unidades!$B$2:$B$218,MATCH(E423,Unidades!$A$2:$A$218,0)),"Código não encontrado"))</f>
        <v/>
      </c>
      <c r="G423" s="12"/>
      <c r="H423" s="11" t="str">
        <f aca="false">IF(A423="","",COUNTIF(Chamados!$J$2:$J$501,A423))</f>
        <v/>
      </c>
    </row>
    <row r="424" customFormat="false" ht="15" hidden="false" customHeight="false" outlineLevel="0" collapsed="false">
      <c r="A424" s="12"/>
      <c r="B424" s="12"/>
      <c r="C424" s="12"/>
      <c r="D424" s="12"/>
      <c r="E424" s="12"/>
      <c r="F424" s="11" t="str">
        <f aca="false">IF(E424="","",IFERROR(INDEX(Unidades!$B$2:$B$218,MATCH(E424,Unidades!$A$2:$A$218,0)),"Código não encontrado"))</f>
        <v/>
      </c>
      <c r="G424" s="12"/>
      <c r="H424" s="11" t="str">
        <f aca="false">IF(A424="","",COUNTIF(Chamados!$J$2:$J$501,A424))</f>
        <v/>
      </c>
    </row>
    <row r="425" customFormat="false" ht="15" hidden="false" customHeight="false" outlineLevel="0" collapsed="false">
      <c r="A425" s="12"/>
      <c r="B425" s="12"/>
      <c r="C425" s="12"/>
      <c r="D425" s="12"/>
      <c r="E425" s="12"/>
      <c r="F425" s="11" t="str">
        <f aca="false">IF(E425="","",IFERROR(INDEX(Unidades!$B$2:$B$218,MATCH(E425,Unidades!$A$2:$A$218,0)),"Código não encontrado"))</f>
        <v/>
      </c>
      <c r="G425" s="12"/>
      <c r="H425" s="11" t="str">
        <f aca="false">IF(A425="","",COUNTIF(Chamados!$J$2:$J$501,A425))</f>
        <v/>
      </c>
    </row>
    <row r="426" customFormat="false" ht="15" hidden="false" customHeight="false" outlineLevel="0" collapsed="false">
      <c r="A426" s="12"/>
      <c r="B426" s="12"/>
      <c r="C426" s="12"/>
      <c r="D426" s="12"/>
      <c r="E426" s="12"/>
      <c r="F426" s="11" t="str">
        <f aca="false">IF(E426="","",IFERROR(INDEX(Unidades!$B$2:$B$218,MATCH(E426,Unidades!$A$2:$A$218,0)),"Código não encontrado"))</f>
        <v/>
      </c>
      <c r="G426" s="12"/>
      <c r="H426" s="11" t="str">
        <f aca="false">IF(A426="","",COUNTIF(Chamados!$J$2:$J$501,A426))</f>
        <v/>
      </c>
    </row>
    <row r="427" customFormat="false" ht="15" hidden="false" customHeight="false" outlineLevel="0" collapsed="false">
      <c r="A427" s="12"/>
      <c r="B427" s="12"/>
      <c r="C427" s="12"/>
      <c r="D427" s="12"/>
      <c r="E427" s="12"/>
      <c r="F427" s="11" t="str">
        <f aca="false">IF(E427="","",IFERROR(INDEX(Unidades!$B$2:$B$218,MATCH(E427,Unidades!$A$2:$A$218,0)),"Código não encontrado"))</f>
        <v/>
      </c>
      <c r="G427" s="12"/>
      <c r="H427" s="11" t="str">
        <f aca="false">IF(A427="","",COUNTIF(Chamados!$J$2:$J$501,A427))</f>
        <v/>
      </c>
    </row>
    <row r="428" customFormat="false" ht="15" hidden="false" customHeight="false" outlineLevel="0" collapsed="false">
      <c r="A428" s="12"/>
      <c r="B428" s="12"/>
      <c r="C428" s="12"/>
      <c r="D428" s="12"/>
      <c r="E428" s="12"/>
      <c r="F428" s="11" t="str">
        <f aca="false">IF(E428="","",IFERROR(INDEX(Unidades!$B$2:$B$218,MATCH(E428,Unidades!$A$2:$A$218,0)),"Código não encontrado"))</f>
        <v/>
      </c>
      <c r="G428" s="12"/>
      <c r="H428" s="11" t="str">
        <f aca="false">IF(A428="","",COUNTIF(Chamados!$J$2:$J$501,A428))</f>
        <v/>
      </c>
    </row>
    <row r="429" customFormat="false" ht="15" hidden="false" customHeight="false" outlineLevel="0" collapsed="false">
      <c r="A429" s="12"/>
      <c r="B429" s="12"/>
      <c r="C429" s="12"/>
      <c r="D429" s="12"/>
      <c r="E429" s="12"/>
      <c r="F429" s="11" t="str">
        <f aca="false">IF(E429="","",IFERROR(INDEX(Unidades!$B$2:$B$218,MATCH(E429,Unidades!$A$2:$A$218,0)),"Código não encontrado"))</f>
        <v/>
      </c>
      <c r="G429" s="12"/>
      <c r="H429" s="11" t="str">
        <f aca="false">IF(A429="","",COUNTIF(Chamados!$J$2:$J$501,A429))</f>
        <v/>
      </c>
    </row>
    <row r="430" customFormat="false" ht="15" hidden="false" customHeight="false" outlineLevel="0" collapsed="false">
      <c r="A430" s="12"/>
      <c r="B430" s="12"/>
      <c r="C430" s="12"/>
      <c r="D430" s="12"/>
      <c r="E430" s="12"/>
      <c r="F430" s="11" t="str">
        <f aca="false">IF(E430="","",IFERROR(INDEX(Unidades!$B$2:$B$218,MATCH(E430,Unidades!$A$2:$A$218,0)),"Código não encontrado"))</f>
        <v/>
      </c>
      <c r="G430" s="12"/>
      <c r="H430" s="11" t="str">
        <f aca="false">IF(A430="","",COUNTIF(Chamados!$J$2:$J$501,A430))</f>
        <v/>
      </c>
    </row>
    <row r="431" customFormat="false" ht="15" hidden="false" customHeight="false" outlineLevel="0" collapsed="false">
      <c r="A431" s="12"/>
      <c r="B431" s="12"/>
      <c r="C431" s="12"/>
      <c r="D431" s="12"/>
      <c r="E431" s="12"/>
      <c r="F431" s="11" t="str">
        <f aca="false">IF(E431="","",IFERROR(INDEX(Unidades!$B$2:$B$218,MATCH(E431,Unidades!$A$2:$A$218,0)),"Código não encontrado"))</f>
        <v/>
      </c>
      <c r="G431" s="12"/>
      <c r="H431" s="11" t="str">
        <f aca="false">IF(A431="","",COUNTIF(Chamados!$J$2:$J$501,A431))</f>
        <v/>
      </c>
    </row>
    <row r="432" customFormat="false" ht="15" hidden="false" customHeight="false" outlineLevel="0" collapsed="false">
      <c r="A432" s="12"/>
      <c r="B432" s="12"/>
      <c r="C432" s="12"/>
      <c r="D432" s="12"/>
      <c r="E432" s="12"/>
      <c r="F432" s="11" t="str">
        <f aca="false">IF(E432="","",IFERROR(INDEX(Unidades!$B$2:$B$218,MATCH(E432,Unidades!$A$2:$A$218,0)),"Código não encontrado"))</f>
        <v/>
      </c>
      <c r="G432" s="12"/>
      <c r="H432" s="11" t="str">
        <f aca="false">IF(A432="","",COUNTIF(Chamados!$J$2:$J$501,A432))</f>
        <v/>
      </c>
    </row>
    <row r="433" customFormat="false" ht="15" hidden="false" customHeight="false" outlineLevel="0" collapsed="false">
      <c r="A433" s="12"/>
      <c r="B433" s="12"/>
      <c r="C433" s="12"/>
      <c r="D433" s="12"/>
      <c r="E433" s="12"/>
      <c r="F433" s="11" t="str">
        <f aca="false">IF(E433="","",IFERROR(INDEX(Unidades!$B$2:$B$218,MATCH(E433,Unidades!$A$2:$A$218,0)),"Código não encontrado"))</f>
        <v/>
      </c>
      <c r="G433" s="12"/>
      <c r="H433" s="11" t="str">
        <f aca="false">IF(A433="","",COUNTIF(Chamados!$J$2:$J$501,A433))</f>
        <v/>
      </c>
    </row>
    <row r="434" customFormat="false" ht="15" hidden="false" customHeight="false" outlineLevel="0" collapsed="false">
      <c r="A434" s="12"/>
      <c r="B434" s="12"/>
      <c r="C434" s="12"/>
      <c r="D434" s="12"/>
      <c r="E434" s="12"/>
      <c r="F434" s="11" t="str">
        <f aca="false">IF(E434="","",IFERROR(INDEX(Unidades!$B$2:$B$218,MATCH(E434,Unidades!$A$2:$A$218,0)),"Código não encontrado"))</f>
        <v/>
      </c>
      <c r="G434" s="12"/>
      <c r="H434" s="11" t="str">
        <f aca="false">IF(A434="","",COUNTIF(Chamados!$J$2:$J$501,A434))</f>
        <v/>
      </c>
    </row>
    <row r="435" customFormat="false" ht="15" hidden="false" customHeight="false" outlineLevel="0" collapsed="false">
      <c r="A435" s="12"/>
      <c r="B435" s="12"/>
      <c r="C435" s="12"/>
      <c r="D435" s="12"/>
      <c r="E435" s="12"/>
      <c r="F435" s="11" t="str">
        <f aca="false">IF(E435="","",IFERROR(INDEX(Unidades!$B$2:$B$218,MATCH(E435,Unidades!$A$2:$A$218,0)),"Código não encontrado"))</f>
        <v/>
      </c>
      <c r="G435" s="12"/>
      <c r="H435" s="11" t="str">
        <f aca="false">IF(A435="","",COUNTIF(Chamados!$J$2:$J$501,A435))</f>
        <v/>
      </c>
    </row>
    <row r="436" customFormat="false" ht="15" hidden="false" customHeight="false" outlineLevel="0" collapsed="false">
      <c r="A436" s="12"/>
      <c r="B436" s="12"/>
      <c r="C436" s="12"/>
      <c r="D436" s="12"/>
      <c r="E436" s="12"/>
      <c r="F436" s="11" t="str">
        <f aca="false">IF(E436="","",IFERROR(INDEX(Unidades!$B$2:$B$218,MATCH(E436,Unidades!$A$2:$A$218,0)),"Código não encontrado"))</f>
        <v/>
      </c>
      <c r="G436" s="12"/>
      <c r="H436" s="11" t="str">
        <f aca="false">IF(A436="","",COUNTIF(Chamados!$J$2:$J$501,A436))</f>
        <v/>
      </c>
    </row>
    <row r="437" customFormat="false" ht="15" hidden="false" customHeight="false" outlineLevel="0" collapsed="false">
      <c r="A437" s="12"/>
      <c r="B437" s="12"/>
      <c r="C437" s="12"/>
      <c r="D437" s="12"/>
      <c r="E437" s="12"/>
      <c r="F437" s="11" t="str">
        <f aca="false">IF(E437="","",IFERROR(INDEX(Unidades!$B$2:$B$218,MATCH(E437,Unidades!$A$2:$A$218,0)),"Código não encontrado"))</f>
        <v/>
      </c>
      <c r="G437" s="12"/>
      <c r="H437" s="11" t="str">
        <f aca="false">IF(A437="","",COUNTIF(Chamados!$J$2:$J$501,A437))</f>
        <v/>
      </c>
    </row>
    <row r="438" customFormat="false" ht="15" hidden="false" customHeight="false" outlineLevel="0" collapsed="false">
      <c r="A438" s="12"/>
      <c r="B438" s="12"/>
      <c r="C438" s="12"/>
      <c r="D438" s="12"/>
      <c r="E438" s="12"/>
      <c r="F438" s="11" t="str">
        <f aca="false">IF(E438="","",IFERROR(INDEX(Unidades!$B$2:$B$218,MATCH(E438,Unidades!$A$2:$A$218,0)),"Código não encontrado"))</f>
        <v/>
      </c>
      <c r="G438" s="12"/>
      <c r="H438" s="11" t="str">
        <f aca="false">IF(A438="","",COUNTIF(Chamados!$J$2:$J$501,A438))</f>
        <v/>
      </c>
    </row>
    <row r="439" customFormat="false" ht="15" hidden="false" customHeight="false" outlineLevel="0" collapsed="false">
      <c r="A439" s="12"/>
      <c r="B439" s="12"/>
      <c r="C439" s="12"/>
      <c r="D439" s="12"/>
      <c r="E439" s="12"/>
      <c r="F439" s="11" t="str">
        <f aca="false">IF(E439="","",IFERROR(INDEX(Unidades!$B$2:$B$218,MATCH(E439,Unidades!$A$2:$A$218,0)),"Código não encontrado"))</f>
        <v/>
      </c>
      <c r="G439" s="12"/>
      <c r="H439" s="11" t="str">
        <f aca="false">IF(A439="","",COUNTIF(Chamados!$J$2:$J$501,A439))</f>
        <v/>
      </c>
    </row>
    <row r="440" customFormat="false" ht="15" hidden="false" customHeight="false" outlineLevel="0" collapsed="false">
      <c r="A440" s="12"/>
      <c r="B440" s="12"/>
      <c r="C440" s="12"/>
      <c r="D440" s="12"/>
      <c r="E440" s="12"/>
      <c r="F440" s="11" t="str">
        <f aca="false">IF(E440="","",IFERROR(INDEX(Unidades!$B$2:$B$218,MATCH(E440,Unidades!$A$2:$A$218,0)),"Código não encontrado"))</f>
        <v/>
      </c>
      <c r="G440" s="12"/>
      <c r="H440" s="11" t="str">
        <f aca="false">IF(A440="","",COUNTIF(Chamados!$J$2:$J$501,A440))</f>
        <v/>
      </c>
    </row>
    <row r="441" customFormat="false" ht="15" hidden="false" customHeight="false" outlineLevel="0" collapsed="false">
      <c r="A441" s="12"/>
      <c r="B441" s="12"/>
      <c r="C441" s="12"/>
      <c r="D441" s="12"/>
      <c r="E441" s="12"/>
      <c r="F441" s="11" t="str">
        <f aca="false">IF(E441="","",IFERROR(INDEX(Unidades!$B$2:$B$218,MATCH(E441,Unidades!$A$2:$A$218,0)),"Código não encontrado"))</f>
        <v/>
      </c>
      <c r="G441" s="12"/>
      <c r="H441" s="11" t="str">
        <f aca="false">IF(A441="","",COUNTIF(Chamados!$J$2:$J$501,A441))</f>
        <v/>
      </c>
    </row>
    <row r="442" customFormat="false" ht="15" hidden="false" customHeight="false" outlineLevel="0" collapsed="false">
      <c r="A442" s="12"/>
      <c r="B442" s="12"/>
      <c r="C442" s="12"/>
      <c r="D442" s="12"/>
      <c r="E442" s="12"/>
      <c r="F442" s="11" t="str">
        <f aca="false">IF(E442="","",IFERROR(INDEX(Unidades!$B$2:$B$218,MATCH(E442,Unidades!$A$2:$A$218,0)),"Código não encontrado"))</f>
        <v/>
      </c>
      <c r="G442" s="12"/>
      <c r="H442" s="11" t="str">
        <f aca="false">IF(A442="","",COUNTIF(Chamados!$J$2:$J$501,A442))</f>
        <v/>
      </c>
    </row>
    <row r="443" customFormat="false" ht="15" hidden="false" customHeight="false" outlineLevel="0" collapsed="false">
      <c r="A443" s="12"/>
      <c r="B443" s="12"/>
      <c r="C443" s="12"/>
      <c r="D443" s="12"/>
      <c r="E443" s="12"/>
      <c r="F443" s="11" t="str">
        <f aca="false">IF(E443="","",IFERROR(INDEX(Unidades!$B$2:$B$218,MATCH(E443,Unidades!$A$2:$A$218,0)),"Código não encontrado"))</f>
        <v/>
      </c>
      <c r="G443" s="12"/>
      <c r="H443" s="11" t="str">
        <f aca="false">IF(A443="","",COUNTIF(Chamados!$J$2:$J$501,A443))</f>
        <v/>
      </c>
    </row>
    <row r="444" customFormat="false" ht="15" hidden="false" customHeight="false" outlineLevel="0" collapsed="false">
      <c r="A444" s="12"/>
      <c r="B444" s="12"/>
      <c r="C444" s="12"/>
      <c r="D444" s="12"/>
      <c r="E444" s="12"/>
      <c r="F444" s="11" t="str">
        <f aca="false">IF(E444="","",IFERROR(INDEX(Unidades!$B$2:$B$218,MATCH(E444,Unidades!$A$2:$A$218,0)),"Código não encontrado"))</f>
        <v/>
      </c>
      <c r="G444" s="12"/>
      <c r="H444" s="11" t="str">
        <f aca="false">IF(A444="","",COUNTIF(Chamados!$J$2:$J$501,A444))</f>
        <v/>
      </c>
    </row>
    <row r="445" customFormat="false" ht="15" hidden="false" customHeight="false" outlineLevel="0" collapsed="false">
      <c r="A445" s="12"/>
      <c r="B445" s="12"/>
      <c r="C445" s="12"/>
      <c r="D445" s="12"/>
      <c r="E445" s="12"/>
      <c r="F445" s="11" t="str">
        <f aca="false">IF(E445="","",IFERROR(INDEX(Unidades!$B$2:$B$218,MATCH(E445,Unidades!$A$2:$A$218,0)),"Código não encontrado"))</f>
        <v/>
      </c>
      <c r="G445" s="12"/>
      <c r="H445" s="11" t="str">
        <f aca="false">IF(A445="","",COUNTIF(Chamados!$J$2:$J$501,A445))</f>
        <v/>
      </c>
    </row>
    <row r="446" customFormat="false" ht="15" hidden="false" customHeight="false" outlineLevel="0" collapsed="false">
      <c r="A446" s="12"/>
      <c r="B446" s="12"/>
      <c r="C446" s="12"/>
      <c r="D446" s="12"/>
      <c r="E446" s="12"/>
      <c r="F446" s="11" t="str">
        <f aca="false">IF(E446="","",IFERROR(INDEX(Unidades!$B$2:$B$218,MATCH(E446,Unidades!$A$2:$A$218,0)),"Código não encontrado"))</f>
        <v/>
      </c>
      <c r="G446" s="12"/>
      <c r="H446" s="11" t="str">
        <f aca="false">IF(A446="","",COUNTIF(Chamados!$J$2:$J$501,A446))</f>
        <v/>
      </c>
    </row>
    <row r="447" customFormat="false" ht="15" hidden="false" customHeight="false" outlineLevel="0" collapsed="false">
      <c r="A447" s="12"/>
      <c r="B447" s="12"/>
      <c r="C447" s="12"/>
      <c r="D447" s="12"/>
      <c r="E447" s="12"/>
      <c r="F447" s="11" t="str">
        <f aca="false">IF(E447="","",IFERROR(INDEX(Unidades!$B$2:$B$218,MATCH(E447,Unidades!$A$2:$A$218,0)),"Código não encontrado"))</f>
        <v/>
      </c>
      <c r="G447" s="12"/>
      <c r="H447" s="11" t="str">
        <f aca="false">IF(A447="","",COUNTIF(Chamados!$J$2:$J$501,A447))</f>
        <v/>
      </c>
    </row>
    <row r="448" customFormat="false" ht="15" hidden="false" customHeight="false" outlineLevel="0" collapsed="false">
      <c r="A448" s="12"/>
      <c r="B448" s="12"/>
      <c r="C448" s="12"/>
      <c r="D448" s="12"/>
      <c r="E448" s="12"/>
      <c r="F448" s="11" t="str">
        <f aca="false">IF(E448="","",IFERROR(INDEX(Unidades!$B$2:$B$218,MATCH(E448,Unidades!$A$2:$A$218,0)),"Código não encontrado"))</f>
        <v/>
      </c>
      <c r="G448" s="12"/>
      <c r="H448" s="11" t="str">
        <f aca="false">IF(A448="","",COUNTIF(Chamados!$J$2:$J$501,A448))</f>
        <v/>
      </c>
    </row>
    <row r="449" customFormat="false" ht="15" hidden="false" customHeight="false" outlineLevel="0" collapsed="false">
      <c r="A449" s="12"/>
      <c r="B449" s="12"/>
      <c r="C449" s="12"/>
      <c r="D449" s="12"/>
      <c r="E449" s="12"/>
      <c r="F449" s="11" t="str">
        <f aca="false">IF(E449="","",IFERROR(INDEX(Unidades!$B$2:$B$218,MATCH(E449,Unidades!$A$2:$A$218,0)),"Código não encontrado"))</f>
        <v/>
      </c>
      <c r="G449" s="12"/>
      <c r="H449" s="11" t="str">
        <f aca="false">IF(A449="","",COUNTIF(Chamados!$J$2:$J$501,A449))</f>
        <v/>
      </c>
    </row>
    <row r="450" customFormat="false" ht="15" hidden="false" customHeight="false" outlineLevel="0" collapsed="false">
      <c r="A450" s="12"/>
      <c r="B450" s="12"/>
      <c r="C450" s="12"/>
      <c r="D450" s="12"/>
      <c r="E450" s="12"/>
      <c r="F450" s="11" t="str">
        <f aca="false">IF(E450="","",IFERROR(INDEX(Unidades!$B$2:$B$218,MATCH(E450,Unidades!$A$2:$A$218,0)),"Código não encontrado"))</f>
        <v/>
      </c>
      <c r="G450" s="12"/>
      <c r="H450" s="11" t="str">
        <f aca="false">IF(A450="","",COUNTIF(Chamados!$J$2:$J$501,A450))</f>
        <v/>
      </c>
    </row>
    <row r="451" customFormat="false" ht="15" hidden="false" customHeight="false" outlineLevel="0" collapsed="false">
      <c r="A451" s="12"/>
      <c r="B451" s="12"/>
      <c r="C451" s="12"/>
      <c r="D451" s="12"/>
      <c r="E451" s="12"/>
      <c r="F451" s="11" t="str">
        <f aca="false">IF(E451="","",IFERROR(INDEX(Unidades!$B$2:$B$218,MATCH(E451,Unidades!$A$2:$A$218,0)),"Código não encontrado"))</f>
        <v/>
      </c>
      <c r="G451" s="12"/>
      <c r="H451" s="11" t="str">
        <f aca="false">IF(A451="","",COUNTIF(Chamados!$J$2:$J$501,A451))</f>
        <v/>
      </c>
    </row>
    <row r="452" customFormat="false" ht="15" hidden="false" customHeight="false" outlineLevel="0" collapsed="false">
      <c r="A452" s="12"/>
      <c r="B452" s="12"/>
      <c r="C452" s="12"/>
      <c r="D452" s="12"/>
      <c r="E452" s="12"/>
      <c r="F452" s="11" t="str">
        <f aca="false">IF(E452="","",IFERROR(INDEX(Unidades!$B$2:$B$218,MATCH(E452,Unidades!$A$2:$A$218,0)),"Código não encontrado"))</f>
        <v/>
      </c>
      <c r="G452" s="12"/>
      <c r="H452" s="11" t="str">
        <f aca="false">IF(A452="","",COUNTIF(Chamados!$J$2:$J$501,A452))</f>
        <v/>
      </c>
    </row>
    <row r="453" customFormat="false" ht="15" hidden="false" customHeight="false" outlineLevel="0" collapsed="false">
      <c r="A453" s="12"/>
      <c r="B453" s="12"/>
      <c r="C453" s="12"/>
      <c r="D453" s="12"/>
      <c r="E453" s="12"/>
      <c r="F453" s="11" t="str">
        <f aca="false">IF(E453="","",IFERROR(INDEX(Unidades!$B$2:$B$218,MATCH(E453,Unidades!$A$2:$A$218,0)),"Código não encontrado"))</f>
        <v/>
      </c>
      <c r="G453" s="12"/>
      <c r="H453" s="11" t="str">
        <f aca="false">IF(A453="","",COUNTIF(Chamados!$J$2:$J$501,A453))</f>
        <v/>
      </c>
    </row>
    <row r="454" customFormat="false" ht="15" hidden="false" customHeight="false" outlineLevel="0" collapsed="false">
      <c r="A454" s="12"/>
      <c r="B454" s="12"/>
      <c r="C454" s="12"/>
      <c r="D454" s="12"/>
      <c r="E454" s="12"/>
      <c r="F454" s="11" t="str">
        <f aca="false">IF(E454="","",IFERROR(INDEX(Unidades!$B$2:$B$218,MATCH(E454,Unidades!$A$2:$A$218,0)),"Código não encontrado"))</f>
        <v/>
      </c>
      <c r="G454" s="12"/>
      <c r="H454" s="11" t="str">
        <f aca="false">IF(A454="","",COUNTIF(Chamados!$J$2:$J$501,A454))</f>
        <v/>
      </c>
    </row>
    <row r="455" customFormat="false" ht="15" hidden="false" customHeight="false" outlineLevel="0" collapsed="false">
      <c r="A455" s="12"/>
      <c r="B455" s="12"/>
      <c r="C455" s="12"/>
      <c r="D455" s="12"/>
      <c r="E455" s="12"/>
      <c r="F455" s="11" t="str">
        <f aca="false">IF(E455="","",IFERROR(INDEX(Unidades!$B$2:$B$218,MATCH(E455,Unidades!$A$2:$A$218,0)),"Código não encontrado"))</f>
        <v/>
      </c>
      <c r="G455" s="12"/>
      <c r="H455" s="11" t="str">
        <f aca="false">IF(A455="","",COUNTIF(Chamados!$J$2:$J$501,A455))</f>
        <v/>
      </c>
    </row>
    <row r="456" customFormat="false" ht="15" hidden="false" customHeight="false" outlineLevel="0" collapsed="false">
      <c r="A456" s="12"/>
      <c r="B456" s="12"/>
      <c r="C456" s="12"/>
      <c r="D456" s="12"/>
      <c r="E456" s="12"/>
      <c r="F456" s="11" t="str">
        <f aca="false">IF(E456="","",IFERROR(INDEX(Unidades!$B$2:$B$218,MATCH(E456,Unidades!$A$2:$A$218,0)),"Código não encontrado"))</f>
        <v/>
      </c>
      <c r="G456" s="12"/>
      <c r="H456" s="11" t="str">
        <f aca="false">IF(A456="","",COUNTIF(Chamados!$J$2:$J$501,A456))</f>
        <v/>
      </c>
    </row>
    <row r="457" customFormat="false" ht="15" hidden="false" customHeight="false" outlineLevel="0" collapsed="false">
      <c r="A457" s="12"/>
      <c r="B457" s="12"/>
      <c r="C457" s="12"/>
      <c r="D457" s="12"/>
      <c r="E457" s="12"/>
      <c r="F457" s="11" t="str">
        <f aca="false">IF(E457="","",IFERROR(INDEX(Unidades!$B$2:$B$218,MATCH(E457,Unidades!$A$2:$A$218,0)),"Código não encontrado"))</f>
        <v/>
      </c>
      <c r="G457" s="12"/>
      <c r="H457" s="11" t="str">
        <f aca="false">IF(A457="","",COUNTIF(Chamados!$J$2:$J$501,A457))</f>
        <v/>
      </c>
    </row>
    <row r="458" customFormat="false" ht="15" hidden="false" customHeight="false" outlineLevel="0" collapsed="false">
      <c r="A458" s="12"/>
      <c r="B458" s="12"/>
      <c r="C458" s="12"/>
      <c r="D458" s="12"/>
      <c r="E458" s="12"/>
      <c r="F458" s="11" t="str">
        <f aca="false">IF(E458="","",IFERROR(INDEX(Unidades!$B$2:$B$218,MATCH(E458,Unidades!$A$2:$A$218,0)),"Código não encontrado"))</f>
        <v/>
      </c>
      <c r="G458" s="12"/>
      <c r="H458" s="11" t="str">
        <f aca="false">IF(A458="","",COUNTIF(Chamados!$J$2:$J$501,A458))</f>
        <v/>
      </c>
    </row>
    <row r="459" customFormat="false" ht="15" hidden="false" customHeight="false" outlineLevel="0" collapsed="false">
      <c r="A459" s="12"/>
      <c r="B459" s="12"/>
      <c r="C459" s="12"/>
      <c r="D459" s="12"/>
      <c r="E459" s="12"/>
      <c r="F459" s="11" t="str">
        <f aca="false">IF(E459="","",IFERROR(INDEX(Unidades!$B$2:$B$218,MATCH(E459,Unidades!$A$2:$A$218,0)),"Código não encontrado"))</f>
        <v/>
      </c>
      <c r="G459" s="12"/>
      <c r="H459" s="11" t="str">
        <f aca="false">IF(A459="","",COUNTIF(Chamados!$J$2:$J$501,A459))</f>
        <v/>
      </c>
    </row>
    <row r="460" customFormat="false" ht="15" hidden="false" customHeight="false" outlineLevel="0" collapsed="false">
      <c r="A460" s="12"/>
      <c r="B460" s="12"/>
      <c r="C460" s="12"/>
      <c r="D460" s="12"/>
      <c r="E460" s="12"/>
      <c r="F460" s="11" t="str">
        <f aca="false">IF(E460="","",IFERROR(INDEX(Unidades!$B$2:$B$218,MATCH(E460,Unidades!$A$2:$A$218,0)),"Código não encontrado"))</f>
        <v/>
      </c>
      <c r="G460" s="12"/>
      <c r="H460" s="11" t="str">
        <f aca="false">IF(A460="","",COUNTIF(Chamados!$J$2:$J$501,A460))</f>
        <v/>
      </c>
    </row>
    <row r="461" customFormat="false" ht="15" hidden="false" customHeight="false" outlineLevel="0" collapsed="false">
      <c r="A461" s="12"/>
      <c r="B461" s="12"/>
      <c r="C461" s="12"/>
      <c r="D461" s="12"/>
      <c r="E461" s="12"/>
      <c r="F461" s="11" t="str">
        <f aca="false">IF(E461="","",IFERROR(INDEX(Unidades!$B$2:$B$218,MATCH(E461,Unidades!$A$2:$A$218,0)),"Código não encontrado"))</f>
        <v/>
      </c>
      <c r="G461" s="12"/>
      <c r="H461" s="11" t="str">
        <f aca="false">IF(A461="","",COUNTIF(Chamados!$J$2:$J$501,A461))</f>
        <v/>
      </c>
    </row>
    <row r="462" customFormat="false" ht="15" hidden="false" customHeight="false" outlineLevel="0" collapsed="false">
      <c r="A462" s="12"/>
      <c r="B462" s="12"/>
      <c r="C462" s="12"/>
      <c r="D462" s="12"/>
      <c r="E462" s="12"/>
      <c r="F462" s="11" t="str">
        <f aca="false">IF(E462="","",IFERROR(INDEX(Unidades!$B$2:$B$218,MATCH(E462,Unidades!$A$2:$A$218,0)),"Código não encontrado"))</f>
        <v/>
      </c>
      <c r="G462" s="12"/>
      <c r="H462" s="11" t="str">
        <f aca="false">IF(A462="","",COUNTIF(Chamados!$J$2:$J$501,A462))</f>
        <v/>
      </c>
    </row>
    <row r="463" customFormat="false" ht="15" hidden="false" customHeight="false" outlineLevel="0" collapsed="false">
      <c r="A463" s="12"/>
      <c r="B463" s="12"/>
      <c r="C463" s="12"/>
      <c r="D463" s="12"/>
      <c r="E463" s="12"/>
      <c r="F463" s="11" t="str">
        <f aca="false">IF(E463="","",IFERROR(INDEX(Unidades!$B$2:$B$218,MATCH(E463,Unidades!$A$2:$A$218,0)),"Código não encontrado"))</f>
        <v/>
      </c>
      <c r="G463" s="12"/>
      <c r="H463" s="11" t="str">
        <f aca="false">IF(A463="","",COUNTIF(Chamados!$J$2:$J$501,A463))</f>
        <v/>
      </c>
    </row>
    <row r="464" customFormat="false" ht="15" hidden="false" customHeight="false" outlineLevel="0" collapsed="false">
      <c r="A464" s="12"/>
      <c r="B464" s="12"/>
      <c r="C464" s="12"/>
      <c r="D464" s="12"/>
      <c r="E464" s="12"/>
      <c r="F464" s="11" t="str">
        <f aca="false">IF(E464="","",IFERROR(INDEX(Unidades!$B$2:$B$218,MATCH(E464,Unidades!$A$2:$A$218,0)),"Código não encontrado"))</f>
        <v/>
      </c>
      <c r="G464" s="12"/>
      <c r="H464" s="11" t="str">
        <f aca="false">IF(A464="","",COUNTIF(Chamados!$J$2:$J$501,A464))</f>
        <v/>
      </c>
    </row>
    <row r="465" customFormat="false" ht="15" hidden="false" customHeight="false" outlineLevel="0" collapsed="false">
      <c r="A465" s="12"/>
      <c r="B465" s="12"/>
      <c r="C465" s="12"/>
      <c r="D465" s="12"/>
      <c r="E465" s="12"/>
      <c r="F465" s="11" t="str">
        <f aca="false">IF(E465="","",IFERROR(INDEX(Unidades!$B$2:$B$218,MATCH(E465,Unidades!$A$2:$A$218,0)),"Código não encontrado"))</f>
        <v/>
      </c>
      <c r="G465" s="12"/>
      <c r="H465" s="11" t="str">
        <f aca="false">IF(A465="","",COUNTIF(Chamados!$J$2:$J$501,A465))</f>
        <v/>
      </c>
    </row>
    <row r="466" customFormat="false" ht="15" hidden="false" customHeight="false" outlineLevel="0" collapsed="false">
      <c r="A466" s="12"/>
      <c r="B466" s="12"/>
      <c r="C466" s="12"/>
      <c r="D466" s="12"/>
      <c r="E466" s="12"/>
      <c r="F466" s="11" t="str">
        <f aca="false">IF(E466="","",IFERROR(INDEX(Unidades!$B$2:$B$218,MATCH(E466,Unidades!$A$2:$A$218,0)),"Código não encontrado"))</f>
        <v/>
      </c>
      <c r="G466" s="12"/>
      <c r="H466" s="11" t="str">
        <f aca="false">IF(A466="","",COUNTIF(Chamados!$J$2:$J$501,A466))</f>
        <v/>
      </c>
    </row>
    <row r="467" customFormat="false" ht="15" hidden="false" customHeight="false" outlineLevel="0" collapsed="false">
      <c r="A467" s="12"/>
      <c r="B467" s="12"/>
      <c r="C467" s="12"/>
      <c r="D467" s="12"/>
      <c r="E467" s="12"/>
      <c r="F467" s="11" t="str">
        <f aca="false">IF(E467="","",IFERROR(INDEX(Unidades!$B$2:$B$218,MATCH(E467,Unidades!$A$2:$A$218,0)),"Código não encontrado"))</f>
        <v/>
      </c>
      <c r="G467" s="12"/>
      <c r="H467" s="11" t="str">
        <f aca="false">IF(A467="","",COUNTIF(Chamados!$J$2:$J$501,A467))</f>
        <v/>
      </c>
    </row>
    <row r="468" customFormat="false" ht="15" hidden="false" customHeight="false" outlineLevel="0" collapsed="false">
      <c r="A468" s="12"/>
      <c r="B468" s="12"/>
      <c r="C468" s="12"/>
      <c r="D468" s="12"/>
      <c r="E468" s="12"/>
      <c r="F468" s="11" t="str">
        <f aca="false">IF(E468="","",IFERROR(INDEX(Unidades!$B$2:$B$218,MATCH(E468,Unidades!$A$2:$A$218,0)),"Código não encontrado"))</f>
        <v/>
      </c>
      <c r="G468" s="12"/>
      <c r="H468" s="11" t="str">
        <f aca="false">IF(A468="","",COUNTIF(Chamados!$J$2:$J$501,A468))</f>
        <v/>
      </c>
    </row>
    <row r="469" customFormat="false" ht="15" hidden="false" customHeight="false" outlineLevel="0" collapsed="false">
      <c r="A469" s="12"/>
      <c r="B469" s="12"/>
      <c r="C469" s="12"/>
      <c r="D469" s="12"/>
      <c r="E469" s="12"/>
      <c r="F469" s="11" t="str">
        <f aca="false">IF(E469="","",IFERROR(INDEX(Unidades!$B$2:$B$218,MATCH(E469,Unidades!$A$2:$A$218,0)),"Código não encontrado"))</f>
        <v/>
      </c>
      <c r="G469" s="12"/>
      <c r="H469" s="11" t="str">
        <f aca="false">IF(A469="","",COUNTIF(Chamados!$J$2:$J$501,A469))</f>
        <v/>
      </c>
    </row>
    <row r="470" customFormat="false" ht="15" hidden="false" customHeight="false" outlineLevel="0" collapsed="false">
      <c r="A470" s="12"/>
      <c r="B470" s="12"/>
      <c r="C470" s="12"/>
      <c r="D470" s="12"/>
      <c r="E470" s="12"/>
      <c r="F470" s="11" t="str">
        <f aca="false">IF(E470="","",IFERROR(INDEX(Unidades!$B$2:$B$218,MATCH(E470,Unidades!$A$2:$A$218,0)),"Código não encontrado"))</f>
        <v/>
      </c>
      <c r="G470" s="12"/>
      <c r="H470" s="11" t="str">
        <f aca="false">IF(A470="","",COUNTIF(Chamados!$J$2:$J$501,A470))</f>
        <v/>
      </c>
    </row>
    <row r="471" customFormat="false" ht="15" hidden="false" customHeight="false" outlineLevel="0" collapsed="false">
      <c r="A471" s="12"/>
      <c r="B471" s="12"/>
      <c r="C471" s="12"/>
      <c r="D471" s="12"/>
      <c r="E471" s="12"/>
      <c r="F471" s="11" t="str">
        <f aca="false">IF(E471="","",IFERROR(INDEX(Unidades!$B$2:$B$218,MATCH(E471,Unidades!$A$2:$A$218,0)),"Código não encontrado"))</f>
        <v/>
      </c>
      <c r="G471" s="12"/>
      <c r="H471" s="11" t="str">
        <f aca="false">IF(A471="","",COUNTIF(Chamados!$J$2:$J$501,A471))</f>
        <v/>
      </c>
    </row>
    <row r="472" customFormat="false" ht="15" hidden="false" customHeight="false" outlineLevel="0" collapsed="false">
      <c r="A472" s="12"/>
      <c r="B472" s="12"/>
      <c r="C472" s="12"/>
      <c r="D472" s="12"/>
      <c r="E472" s="12"/>
      <c r="F472" s="11" t="str">
        <f aca="false">IF(E472="","",IFERROR(INDEX(Unidades!$B$2:$B$218,MATCH(E472,Unidades!$A$2:$A$218,0)),"Código não encontrado"))</f>
        <v/>
      </c>
      <c r="G472" s="12"/>
      <c r="H472" s="11" t="str">
        <f aca="false">IF(A472="","",COUNTIF(Chamados!$J$2:$J$501,A472))</f>
        <v/>
      </c>
    </row>
    <row r="473" customFormat="false" ht="15" hidden="false" customHeight="false" outlineLevel="0" collapsed="false">
      <c r="A473" s="12"/>
      <c r="B473" s="12"/>
      <c r="C473" s="12"/>
      <c r="D473" s="12"/>
      <c r="E473" s="12"/>
      <c r="F473" s="11" t="str">
        <f aca="false">IF(E473="","",IFERROR(INDEX(Unidades!$B$2:$B$218,MATCH(E473,Unidades!$A$2:$A$218,0)),"Código não encontrado"))</f>
        <v/>
      </c>
      <c r="G473" s="12"/>
      <c r="H473" s="11" t="str">
        <f aca="false">IF(A473="","",COUNTIF(Chamados!$J$2:$J$501,A473))</f>
        <v/>
      </c>
    </row>
    <row r="474" customFormat="false" ht="15" hidden="false" customHeight="false" outlineLevel="0" collapsed="false">
      <c r="A474" s="12"/>
      <c r="B474" s="12"/>
      <c r="C474" s="12"/>
      <c r="D474" s="12"/>
      <c r="E474" s="12"/>
      <c r="F474" s="11" t="str">
        <f aca="false">IF(E474="","",IFERROR(INDEX(Unidades!$B$2:$B$218,MATCH(E474,Unidades!$A$2:$A$218,0)),"Código não encontrado"))</f>
        <v/>
      </c>
      <c r="G474" s="12"/>
      <c r="H474" s="11" t="str">
        <f aca="false">IF(A474="","",COUNTIF(Chamados!$J$2:$J$501,A474))</f>
        <v/>
      </c>
    </row>
    <row r="475" customFormat="false" ht="15" hidden="false" customHeight="false" outlineLevel="0" collapsed="false">
      <c r="A475" s="12"/>
      <c r="B475" s="12"/>
      <c r="C475" s="12"/>
      <c r="D475" s="12"/>
      <c r="E475" s="12"/>
      <c r="F475" s="11" t="str">
        <f aca="false">IF(E475="","",IFERROR(INDEX(Unidades!$B$2:$B$218,MATCH(E475,Unidades!$A$2:$A$218,0)),"Código não encontrado"))</f>
        <v/>
      </c>
      <c r="G475" s="12"/>
      <c r="H475" s="11" t="str">
        <f aca="false">IF(A475="","",COUNTIF(Chamados!$J$2:$J$501,A475))</f>
        <v/>
      </c>
    </row>
    <row r="476" customFormat="false" ht="15" hidden="false" customHeight="false" outlineLevel="0" collapsed="false">
      <c r="A476" s="12"/>
      <c r="B476" s="12"/>
      <c r="C476" s="12"/>
      <c r="D476" s="12"/>
      <c r="E476" s="12"/>
      <c r="F476" s="11" t="str">
        <f aca="false">IF(E476="","",IFERROR(INDEX(Unidades!$B$2:$B$218,MATCH(E476,Unidades!$A$2:$A$218,0)),"Código não encontrado"))</f>
        <v/>
      </c>
      <c r="G476" s="12"/>
      <c r="H476" s="11" t="str">
        <f aca="false">IF(A476="","",COUNTIF(Chamados!$J$2:$J$501,A476))</f>
        <v/>
      </c>
    </row>
    <row r="477" customFormat="false" ht="15" hidden="false" customHeight="false" outlineLevel="0" collapsed="false">
      <c r="A477" s="12"/>
      <c r="B477" s="12"/>
      <c r="C477" s="12"/>
      <c r="D477" s="12"/>
      <c r="E477" s="12"/>
      <c r="F477" s="11" t="str">
        <f aca="false">IF(E477="","",IFERROR(INDEX(Unidades!$B$2:$B$218,MATCH(E477,Unidades!$A$2:$A$218,0)),"Código não encontrado"))</f>
        <v/>
      </c>
      <c r="G477" s="12"/>
      <c r="H477" s="11" t="str">
        <f aca="false">IF(A477="","",COUNTIF(Chamados!$J$2:$J$501,A477))</f>
        <v/>
      </c>
    </row>
    <row r="478" customFormat="false" ht="15" hidden="false" customHeight="false" outlineLevel="0" collapsed="false">
      <c r="A478" s="12"/>
      <c r="B478" s="12"/>
      <c r="C478" s="12"/>
      <c r="D478" s="12"/>
      <c r="E478" s="12"/>
      <c r="F478" s="11" t="str">
        <f aca="false">IF(E478="","",IFERROR(INDEX(Unidades!$B$2:$B$218,MATCH(E478,Unidades!$A$2:$A$218,0)),"Código não encontrado"))</f>
        <v/>
      </c>
      <c r="G478" s="12"/>
      <c r="H478" s="11" t="str">
        <f aca="false">IF(A478="","",COUNTIF(Chamados!$J$2:$J$501,A478))</f>
        <v/>
      </c>
    </row>
    <row r="479" customFormat="false" ht="15" hidden="false" customHeight="false" outlineLevel="0" collapsed="false">
      <c r="A479" s="12"/>
      <c r="B479" s="12"/>
      <c r="C479" s="12"/>
      <c r="D479" s="12"/>
      <c r="E479" s="12"/>
      <c r="F479" s="11" t="str">
        <f aca="false">IF(E479="","",IFERROR(INDEX(Unidades!$B$2:$B$218,MATCH(E479,Unidades!$A$2:$A$218,0)),"Código não encontrado"))</f>
        <v/>
      </c>
      <c r="G479" s="12"/>
      <c r="H479" s="11" t="str">
        <f aca="false">IF(A479="","",COUNTIF(Chamados!$J$2:$J$501,A479))</f>
        <v/>
      </c>
    </row>
    <row r="480" customFormat="false" ht="15" hidden="false" customHeight="false" outlineLevel="0" collapsed="false">
      <c r="A480" s="12"/>
      <c r="B480" s="12"/>
      <c r="C480" s="12"/>
      <c r="D480" s="12"/>
      <c r="E480" s="12"/>
      <c r="F480" s="11" t="str">
        <f aca="false">IF(E480="","",IFERROR(INDEX(Unidades!$B$2:$B$218,MATCH(E480,Unidades!$A$2:$A$218,0)),"Código não encontrado"))</f>
        <v/>
      </c>
      <c r="G480" s="12"/>
      <c r="H480" s="11" t="str">
        <f aca="false">IF(A480="","",COUNTIF(Chamados!$J$2:$J$501,A480))</f>
        <v/>
      </c>
    </row>
    <row r="481" customFormat="false" ht="15" hidden="false" customHeight="false" outlineLevel="0" collapsed="false">
      <c r="A481" s="12"/>
      <c r="B481" s="12"/>
      <c r="C481" s="12"/>
      <c r="D481" s="12"/>
      <c r="E481" s="12"/>
      <c r="F481" s="11" t="str">
        <f aca="false">IF(E481="","",IFERROR(INDEX(Unidades!$B$2:$B$218,MATCH(E481,Unidades!$A$2:$A$218,0)),"Código não encontrado"))</f>
        <v/>
      </c>
      <c r="G481" s="12"/>
      <c r="H481" s="11" t="str">
        <f aca="false">IF(A481="","",COUNTIF(Chamados!$J$2:$J$501,A481))</f>
        <v/>
      </c>
    </row>
    <row r="482" customFormat="false" ht="15" hidden="false" customHeight="false" outlineLevel="0" collapsed="false">
      <c r="A482" s="12"/>
      <c r="B482" s="12"/>
      <c r="C482" s="12"/>
      <c r="D482" s="12"/>
      <c r="E482" s="12"/>
      <c r="F482" s="11" t="str">
        <f aca="false">IF(E482="","",IFERROR(INDEX(Unidades!$B$2:$B$218,MATCH(E482,Unidades!$A$2:$A$218,0)),"Código não encontrado"))</f>
        <v/>
      </c>
      <c r="G482" s="12"/>
      <c r="H482" s="11" t="str">
        <f aca="false">IF(A482="","",COUNTIF(Chamados!$J$2:$J$501,A482))</f>
        <v/>
      </c>
    </row>
    <row r="483" customFormat="false" ht="15" hidden="false" customHeight="false" outlineLevel="0" collapsed="false">
      <c r="A483" s="12"/>
      <c r="B483" s="12"/>
      <c r="C483" s="12"/>
      <c r="D483" s="12"/>
      <c r="E483" s="12"/>
      <c r="F483" s="11" t="str">
        <f aca="false">IF(E483="","",IFERROR(INDEX(Unidades!$B$2:$B$218,MATCH(E483,Unidades!$A$2:$A$218,0)),"Código não encontrado"))</f>
        <v/>
      </c>
      <c r="G483" s="12"/>
      <c r="H483" s="11" t="str">
        <f aca="false">IF(A483="","",COUNTIF(Chamados!$J$2:$J$501,A483))</f>
        <v/>
      </c>
    </row>
    <row r="484" customFormat="false" ht="15" hidden="false" customHeight="false" outlineLevel="0" collapsed="false">
      <c r="A484" s="12"/>
      <c r="B484" s="12"/>
      <c r="C484" s="12"/>
      <c r="D484" s="12"/>
      <c r="E484" s="12"/>
      <c r="F484" s="11" t="str">
        <f aca="false">IF(E484="","",IFERROR(INDEX(Unidades!$B$2:$B$218,MATCH(E484,Unidades!$A$2:$A$218,0)),"Código não encontrado"))</f>
        <v/>
      </c>
      <c r="G484" s="12"/>
      <c r="H484" s="11" t="str">
        <f aca="false">IF(A484="","",COUNTIF(Chamados!$J$2:$J$501,A484))</f>
        <v/>
      </c>
    </row>
    <row r="485" customFormat="false" ht="15" hidden="false" customHeight="false" outlineLevel="0" collapsed="false">
      <c r="A485" s="12"/>
      <c r="B485" s="12"/>
      <c r="C485" s="12"/>
      <c r="D485" s="12"/>
      <c r="E485" s="12"/>
      <c r="F485" s="11" t="str">
        <f aca="false">IF(E485="","",IFERROR(INDEX(Unidades!$B$2:$B$218,MATCH(E485,Unidades!$A$2:$A$218,0)),"Código não encontrado"))</f>
        <v/>
      </c>
      <c r="G485" s="12"/>
      <c r="H485" s="11" t="str">
        <f aca="false">IF(A485="","",COUNTIF(Chamados!$J$2:$J$501,A485))</f>
        <v/>
      </c>
    </row>
    <row r="486" customFormat="false" ht="15" hidden="false" customHeight="false" outlineLevel="0" collapsed="false">
      <c r="A486" s="12"/>
      <c r="B486" s="12"/>
      <c r="C486" s="12"/>
      <c r="D486" s="12"/>
      <c r="E486" s="12"/>
      <c r="F486" s="11" t="str">
        <f aca="false">IF(E486="","",IFERROR(INDEX(Unidades!$B$2:$B$218,MATCH(E486,Unidades!$A$2:$A$218,0)),"Código não encontrado"))</f>
        <v/>
      </c>
      <c r="G486" s="12"/>
      <c r="H486" s="11" t="str">
        <f aca="false">IF(A486="","",COUNTIF(Chamados!$J$2:$J$501,A486))</f>
        <v/>
      </c>
    </row>
    <row r="487" customFormat="false" ht="15" hidden="false" customHeight="false" outlineLevel="0" collapsed="false">
      <c r="A487" s="12"/>
      <c r="B487" s="12"/>
      <c r="C487" s="12"/>
      <c r="D487" s="12"/>
      <c r="E487" s="12"/>
      <c r="F487" s="11" t="str">
        <f aca="false">IF(E487="","",IFERROR(INDEX(Unidades!$B$2:$B$218,MATCH(E487,Unidades!$A$2:$A$218,0)),"Código não encontrado"))</f>
        <v/>
      </c>
      <c r="G487" s="12"/>
      <c r="H487" s="11" t="str">
        <f aca="false">IF(A487="","",COUNTIF(Chamados!$J$2:$J$501,A487))</f>
        <v/>
      </c>
    </row>
    <row r="488" customFormat="false" ht="15" hidden="false" customHeight="false" outlineLevel="0" collapsed="false">
      <c r="A488" s="12"/>
      <c r="B488" s="12"/>
      <c r="C488" s="12"/>
      <c r="D488" s="12"/>
      <c r="E488" s="12"/>
      <c r="F488" s="11" t="str">
        <f aca="false">IF(E488="","",IFERROR(INDEX(Unidades!$B$2:$B$218,MATCH(E488,Unidades!$A$2:$A$218,0)),"Código não encontrado"))</f>
        <v/>
      </c>
      <c r="G488" s="12"/>
      <c r="H488" s="11" t="str">
        <f aca="false">IF(A488="","",COUNTIF(Chamados!$J$2:$J$501,A488))</f>
        <v/>
      </c>
    </row>
    <row r="489" customFormat="false" ht="15" hidden="false" customHeight="false" outlineLevel="0" collapsed="false">
      <c r="A489" s="12"/>
      <c r="B489" s="12"/>
      <c r="C489" s="12"/>
      <c r="D489" s="12"/>
      <c r="E489" s="12"/>
      <c r="F489" s="11" t="str">
        <f aca="false">IF(E489="","",IFERROR(INDEX(Unidades!$B$2:$B$218,MATCH(E489,Unidades!$A$2:$A$218,0)),"Código não encontrado"))</f>
        <v/>
      </c>
      <c r="G489" s="12"/>
      <c r="H489" s="11" t="str">
        <f aca="false">IF(A489="","",COUNTIF(Chamados!$J$2:$J$501,A489))</f>
        <v/>
      </c>
    </row>
    <row r="490" customFormat="false" ht="15" hidden="false" customHeight="false" outlineLevel="0" collapsed="false">
      <c r="A490" s="12"/>
      <c r="B490" s="12"/>
      <c r="C490" s="12"/>
      <c r="D490" s="12"/>
      <c r="E490" s="12"/>
      <c r="F490" s="11" t="str">
        <f aca="false">IF(E490="","",IFERROR(INDEX(Unidades!$B$2:$B$218,MATCH(E490,Unidades!$A$2:$A$218,0)),"Código não encontrado"))</f>
        <v/>
      </c>
      <c r="G490" s="12"/>
      <c r="H490" s="11" t="str">
        <f aca="false">IF(A490="","",COUNTIF(Chamados!$J$2:$J$501,A490))</f>
        <v/>
      </c>
    </row>
    <row r="491" customFormat="false" ht="15" hidden="false" customHeight="false" outlineLevel="0" collapsed="false">
      <c r="A491" s="12"/>
      <c r="B491" s="12"/>
      <c r="C491" s="12"/>
      <c r="D491" s="12"/>
      <c r="E491" s="12"/>
      <c r="F491" s="11" t="str">
        <f aca="false">IF(E491="","",IFERROR(INDEX(Unidades!$B$2:$B$218,MATCH(E491,Unidades!$A$2:$A$218,0)),"Código não encontrado"))</f>
        <v/>
      </c>
      <c r="G491" s="12"/>
      <c r="H491" s="11" t="str">
        <f aca="false">IF(A491="","",COUNTIF(Chamados!$J$2:$J$501,A491))</f>
        <v/>
      </c>
    </row>
    <row r="492" customFormat="false" ht="15" hidden="false" customHeight="false" outlineLevel="0" collapsed="false">
      <c r="A492" s="12"/>
      <c r="B492" s="12"/>
      <c r="C492" s="12"/>
      <c r="D492" s="12"/>
      <c r="E492" s="12"/>
      <c r="F492" s="11" t="str">
        <f aca="false">IF(E492="","",IFERROR(INDEX(Unidades!$B$2:$B$218,MATCH(E492,Unidades!$A$2:$A$218,0)),"Código não encontrado"))</f>
        <v/>
      </c>
      <c r="G492" s="12"/>
      <c r="H492" s="11" t="str">
        <f aca="false">IF(A492="","",COUNTIF(Chamados!$J$2:$J$501,A492))</f>
        <v/>
      </c>
    </row>
    <row r="493" customFormat="false" ht="15" hidden="false" customHeight="false" outlineLevel="0" collapsed="false">
      <c r="A493" s="12"/>
      <c r="B493" s="12"/>
      <c r="C493" s="12"/>
      <c r="D493" s="12"/>
      <c r="E493" s="12"/>
      <c r="F493" s="11" t="str">
        <f aca="false">IF(E493="","",IFERROR(INDEX(Unidades!$B$2:$B$218,MATCH(E493,Unidades!$A$2:$A$218,0)),"Código não encontrado"))</f>
        <v/>
      </c>
      <c r="G493" s="12"/>
      <c r="H493" s="11" t="str">
        <f aca="false">IF(A493="","",COUNTIF(Chamados!$J$2:$J$501,A493))</f>
        <v/>
      </c>
    </row>
    <row r="494" customFormat="false" ht="15" hidden="false" customHeight="false" outlineLevel="0" collapsed="false">
      <c r="A494" s="12"/>
      <c r="B494" s="12"/>
      <c r="C494" s="12"/>
      <c r="D494" s="12"/>
      <c r="E494" s="12"/>
      <c r="F494" s="11" t="str">
        <f aca="false">IF(E494="","",IFERROR(INDEX(Unidades!$B$2:$B$218,MATCH(E494,Unidades!$A$2:$A$218,0)),"Código não encontrado"))</f>
        <v/>
      </c>
      <c r="G494" s="12"/>
      <c r="H494" s="11" t="str">
        <f aca="false">IF(A494="","",COUNTIF(Chamados!$J$2:$J$501,A494))</f>
        <v/>
      </c>
    </row>
    <row r="495" customFormat="false" ht="15" hidden="false" customHeight="false" outlineLevel="0" collapsed="false">
      <c r="A495" s="12"/>
      <c r="B495" s="12"/>
      <c r="C495" s="12"/>
      <c r="D495" s="12"/>
      <c r="E495" s="12"/>
      <c r="F495" s="11" t="str">
        <f aca="false">IF(E495="","",IFERROR(INDEX(Unidades!$B$2:$B$218,MATCH(E495,Unidades!$A$2:$A$218,0)),"Código não encontrado"))</f>
        <v/>
      </c>
      <c r="G495" s="12"/>
      <c r="H495" s="11" t="str">
        <f aca="false">IF(A495="","",COUNTIF(Chamados!$J$2:$J$501,A495))</f>
        <v/>
      </c>
    </row>
    <row r="496" customFormat="false" ht="15" hidden="false" customHeight="false" outlineLevel="0" collapsed="false">
      <c r="A496" s="12"/>
      <c r="B496" s="12"/>
      <c r="C496" s="12"/>
      <c r="D496" s="12"/>
      <c r="E496" s="12"/>
      <c r="F496" s="11" t="str">
        <f aca="false">IF(E496="","",IFERROR(INDEX(Unidades!$B$2:$B$218,MATCH(E496,Unidades!$A$2:$A$218,0)),"Código não encontrado"))</f>
        <v/>
      </c>
      <c r="G496" s="12"/>
      <c r="H496" s="11" t="str">
        <f aca="false">IF(A496="","",COUNTIF(Chamados!$J$2:$J$501,A496))</f>
        <v/>
      </c>
    </row>
    <row r="497" customFormat="false" ht="15" hidden="false" customHeight="false" outlineLevel="0" collapsed="false">
      <c r="A497" s="12"/>
      <c r="B497" s="12"/>
      <c r="C497" s="12"/>
      <c r="D497" s="12"/>
      <c r="E497" s="12"/>
      <c r="F497" s="11" t="str">
        <f aca="false">IF(E497="","",IFERROR(INDEX(Unidades!$B$2:$B$218,MATCH(E497,Unidades!$A$2:$A$218,0)),"Código não encontrado"))</f>
        <v/>
      </c>
      <c r="G497" s="12"/>
      <c r="H497" s="11" t="str">
        <f aca="false">IF(A497="","",COUNTIF(Chamados!$J$2:$J$501,A497))</f>
        <v/>
      </c>
    </row>
    <row r="498" customFormat="false" ht="15" hidden="false" customHeight="false" outlineLevel="0" collapsed="false">
      <c r="A498" s="12"/>
      <c r="B498" s="12"/>
      <c r="C498" s="12"/>
      <c r="D498" s="12"/>
      <c r="E498" s="12"/>
      <c r="F498" s="11" t="str">
        <f aca="false">IF(E498="","",IFERROR(INDEX(Unidades!$B$2:$B$218,MATCH(E498,Unidades!$A$2:$A$218,0)),"Código não encontrado"))</f>
        <v/>
      </c>
      <c r="G498" s="12"/>
      <c r="H498" s="11" t="str">
        <f aca="false">IF(A498="","",COUNTIF(Chamados!$J$2:$J$501,A498))</f>
        <v/>
      </c>
    </row>
    <row r="499" customFormat="false" ht="15" hidden="false" customHeight="false" outlineLevel="0" collapsed="false">
      <c r="A499" s="12"/>
      <c r="B499" s="12"/>
      <c r="C499" s="12"/>
      <c r="D499" s="12"/>
      <c r="E499" s="12"/>
      <c r="F499" s="11" t="str">
        <f aca="false">IF(E499="","",IFERROR(INDEX(Unidades!$B$2:$B$218,MATCH(E499,Unidades!$A$2:$A$218,0)),"Código não encontrado"))</f>
        <v/>
      </c>
      <c r="G499" s="12"/>
      <c r="H499" s="11" t="str">
        <f aca="false">IF(A499="","",COUNTIF(Chamados!$J$2:$J$501,A499))</f>
        <v/>
      </c>
    </row>
    <row r="500" customFormat="false" ht="15" hidden="false" customHeight="false" outlineLevel="0" collapsed="false">
      <c r="A500" s="12"/>
      <c r="B500" s="12"/>
      <c r="C500" s="12"/>
      <c r="D500" s="12"/>
      <c r="E500" s="12"/>
      <c r="F500" s="11" t="str">
        <f aca="false">IF(E500="","",IFERROR(INDEX(Unidades!$B$2:$B$218,MATCH(E500,Unidades!$A$2:$A$218,0)),"Código não encontrado"))</f>
        <v/>
      </c>
      <c r="G500" s="12"/>
      <c r="H500" s="11" t="str">
        <f aca="false">IF(A500="","",COUNTIF(Chamados!$J$2:$J$501,A500))</f>
        <v/>
      </c>
    </row>
    <row r="501" customFormat="false" ht="15" hidden="false" customHeight="false" outlineLevel="0" collapsed="false">
      <c r="A501" s="12"/>
      <c r="B501" s="12"/>
      <c r="C501" s="12"/>
      <c r="D501" s="12"/>
      <c r="E501" s="12"/>
      <c r="F501" s="11" t="str">
        <f aca="false">IF(E501="","",IFERROR(INDEX(Unidades!$B$2:$B$218,MATCH(E501,Unidades!$A$2:$A$218,0)),"Código não encontrado"))</f>
        <v/>
      </c>
      <c r="G501" s="12"/>
      <c r="H501" s="11" t="str">
        <f aca="false">IF(A501="","",COUNTIF(Chamados!$J$2:$J$501,A501))</f>
        <v/>
      </c>
    </row>
  </sheetData>
  <autoFilter ref="A1:H501"/>
  <dataValidations count="3">
    <dataValidation allowBlank="true" errorStyle="stop" operator="between" showDropDown="false" showErrorMessage="false" showInputMessage="false" sqref="B2:B501" type="list">
      <formula1>Listas!$F$2:$F$12</formula1>
      <formula2>0</formula2>
    </dataValidation>
    <dataValidation allowBlank="true" errorStyle="stop" operator="between" showDropDown="false" showErrorMessage="false" showInputMessage="false" sqref="E2:E501" type="list">
      <formula1>Unidades!$A$2:$A$218</formula1>
      <formula2>0</formula2>
    </dataValidation>
    <dataValidation allowBlank="true" errorStyle="stop" operator="between" showDropDown="false" showErrorMessage="false" showInputMessage="false" sqref="G2:G501" type="list">
      <formula1>Listas!$G$2:$G$5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30" hidden="false" customHeight="true" outlineLevel="0" collapsed="false">
      <c r="A1" s="3" t="s">
        <v>284</v>
      </c>
      <c r="B1" s="3" t="s">
        <v>285</v>
      </c>
    </row>
    <row r="2" customFormat="false" ht="15" hidden="false" customHeight="false" outlineLevel="0" collapsed="false">
      <c r="A2" s="4" t="s">
        <v>286</v>
      </c>
      <c r="B2" s="5" t="s">
        <v>287</v>
      </c>
    </row>
    <row r="3" customFormat="false" ht="15" hidden="false" customHeight="false" outlineLevel="0" collapsed="false">
      <c r="A3" s="4" t="s">
        <v>288</v>
      </c>
      <c r="B3" s="5" t="s">
        <v>289</v>
      </c>
    </row>
    <row r="4" customFormat="false" ht="15" hidden="false" customHeight="false" outlineLevel="0" collapsed="false">
      <c r="A4" s="4" t="s">
        <v>290</v>
      </c>
      <c r="B4" s="5" t="s">
        <v>291</v>
      </c>
    </row>
    <row r="5" customFormat="false" ht="15" hidden="false" customHeight="false" outlineLevel="0" collapsed="false">
      <c r="A5" s="4" t="s">
        <v>280</v>
      </c>
      <c r="B5" s="5" t="s">
        <v>292</v>
      </c>
    </row>
    <row r="6" customFormat="false" ht="15" hidden="false" customHeight="false" outlineLevel="0" collapsed="false">
      <c r="A6" s="4" t="s">
        <v>293</v>
      </c>
      <c r="B6" s="5" t="s">
        <v>294</v>
      </c>
    </row>
    <row r="7" customFormat="false" ht="15" hidden="false" customHeight="false" outlineLevel="0" collapsed="false">
      <c r="A7" s="4" t="s">
        <v>295</v>
      </c>
      <c r="B7" s="5" t="s">
        <v>296</v>
      </c>
    </row>
    <row r="8" customFormat="false" ht="15" hidden="false" customHeight="false" outlineLevel="0" collapsed="false">
      <c r="A8" s="4" t="s">
        <v>297</v>
      </c>
      <c r="B8" s="5" t="s">
        <v>298</v>
      </c>
    </row>
    <row r="9" customFormat="false" ht="15" hidden="false" customHeight="false" outlineLevel="0" collapsed="false">
      <c r="A9" s="4" t="s">
        <v>299</v>
      </c>
      <c r="B9" s="5" t="s">
        <v>300</v>
      </c>
    </row>
    <row r="10" customFormat="false" ht="15" hidden="false" customHeight="false" outlineLevel="0" collapsed="false">
      <c r="A10" s="4" t="s">
        <v>301</v>
      </c>
      <c r="B10" s="5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6"/>
    <col collapsed="false" customWidth="true" hidden="false" outlineLevel="0" max="4" min="4" style="0" width="70"/>
  </cols>
  <sheetData>
    <row r="1" customFormat="false" ht="30" hidden="false" customHeight="true" outlineLevel="0" collapsed="false">
      <c r="A1" s="3" t="s">
        <v>303</v>
      </c>
      <c r="B1" s="3" t="s">
        <v>304</v>
      </c>
      <c r="C1" s="3" t="s">
        <v>305</v>
      </c>
      <c r="D1" s="3" t="s">
        <v>306</v>
      </c>
    </row>
    <row r="2" customFormat="false" ht="15" hidden="false" customHeight="false" outlineLevel="0" collapsed="false">
      <c r="A2" s="4" t="s">
        <v>307</v>
      </c>
      <c r="B2" s="13" t="n">
        <v>1</v>
      </c>
      <c r="C2" s="5" t="s">
        <v>308</v>
      </c>
      <c r="D2" s="5" t="s">
        <v>309</v>
      </c>
    </row>
    <row r="3" customFormat="false" ht="15" hidden="false" customHeight="false" outlineLevel="0" collapsed="false">
      <c r="A3" s="4" t="s">
        <v>310</v>
      </c>
      <c r="B3" s="13" t="n">
        <v>4</v>
      </c>
      <c r="C3" s="5" t="s">
        <v>311</v>
      </c>
      <c r="D3" s="5" t="s">
        <v>312</v>
      </c>
    </row>
    <row r="4" customFormat="false" ht="15" hidden="false" customHeight="false" outlineLevel="0" collapsed="false">
      <c r="A4" s="4" t="s">
        <v>313</v>
      </c>
      <c r="B4" s="13" t="n">
        <v>24</v>
      </c>
      <c r="C4" s="5" t="s">
        <v>314</v>
      </c>
      <c r="D4" s="5" t="s">
        <v>315</v>
      </c>
    </row>
    <row r="5" customFormat="false" ht="15" hidden="false" customHeight="false" outlineLevel="0" collapsed="false">
      <c r="A5" s="4" t="s">
        <v>316</v>
      </c>
      <c r="B5" s="13" t="n">
        <v>72</v>
      </c>
      <c r="C5" s="5" t="s">
        <v>317</v>
      </c>
      <c r="D5" s="5" t="s">
        <v>318</v>
      </c>
    </row>
    <row r="7" customFormat="false" ht="15" hidden="false" customHeight="false" outlineLevel="0" collapsed="false">
      <c r="A7" s="6" t="s">
        <v>319</v>
      </c>
      <c r="B7" s="2" t="s">
        <v>320</v>
      </c>
    </row>
    <row r="8" customFormat="false" ht="15" hidden="false" customHeight="false" outlineLevel="0" collapsed="false">
      <c r="A8" s="6" t="s">
        <v>321</v>
      </c>
      <c r="B8" s="2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8" min="7" style="0" width="16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20"/>
    <col collapsed="false" customWidth="true" hidden="false" outlineLevel="0" max="17" min="17" style="0" width="18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36"/>
    <col collapsed="false" customWidth="true" hidden="false" outlineLevel="0" max="21" min="21" style="0" width="20"/>
    <col collapsed="false" customWidth="true" hidden="false" outlineLevel="0" max="22" min="22" style="0" width="24"/>
  </cols>
  <sheetData>
    <row r="1" customFormat="false" ht="42" hidden="false" customHeight="true" outlineLevel="0" collapsed="false">
      <c r="A1" s="3" t="s">
        <v>323</v>
      </c>
      <c r="B1" s="3" t="s">
        <v>324</v>
      </c>
      <c r="C1" s="3" t="s">
        <v>276</v>
      </c>
      <c r="D1" s="3" t="s">
        <v>277</v>
      </c>
      <c r="E1" s="3" t="s">
        <v>42</v>
      </c>
      <c r="F1" s="3" t="s">
        <v>325</v>
      </c>
      <c r="G1" s="3" t="s">
        <v>326</v>
      </c>
      <c r="H1" s="3" t="s">
        <v>284</v>
      </c>
      <c r="I1" s="3" t="s">
        <v>327</v>
      </c>
      <c r="J1" s="3" t="s">
        <v>328</v>
      </c>
      <c r="K1" s="3" t="s">
        <v>329</v>
      </c>
      <c r="L1" s="3" t="s">
        <v>303</v>
      </c>
      <c r="M1" s="3" t="s">
        <v>330</v>
      </c>
      <c r="N1" s="3" t="s">
        <v>331</v>
      </c>
      <c r="O1" s="3" t="s">
        <v>278</v>
      </c>
      <c r="P1" s="3" t="s">
        <v>332</v>
      </c>
      <c r="Q1" s="3" t="s">
        <v>333</v>
      </c>
      <c r="R1" s="3" t="s">
        <v>334</v>
      </c>
      <c r="S1" s="3" t="s">
        <v>335</v>
      </c>
      <c r="T1" s="3" t="s">
        <v>336</v>
      </c>
      <c r="U1" s="3" t="s">
        <v>337</v>
      </c>
      <c r="V1" s="3" t="s">
        <v>338</v>
      </c>
    </row>
    <row r="2" customFormat="false" ht="23.85" hidden="false" customHeight="false" outlineLevel="0" collapsed="false">
      <c r="A2" s="10" t="s">
        <v>339</v>
      </c>
      <c r="B2" s="14" t="n">
        <v>46302.3958333333</v>
      </c>
      <c r="C2" s="10" t="s">
        <v>48</v>
      </c>
      <c r="D2" s="11" t="str">
        <f aca="false">IF(C2="","",IFERROR(INDEX(Unidades!$B$2:$B$218,MATCH(C2,Unidades!$A$2:$A$218,0)),"Código não encontrado"))</f>
        <v>Exemplo – Hirota Super Centro</v>
      </c>
      <c r="E2" s="11" t="str">
        <f aca="false">IF(C2="","",IFERROR(INDEX(Unidades!$C$2:$C$218,MATCH(C2,Unidades!$A$2:$A$218,0)),""))</f>
        <v>Super</v>
      </c>
      <c r="F2" s="10" t="s">
        <v>340</v>
      </c>
      <c r="G2" s="10" t="s">
        <v>341</v>
      </c>
      <c r="H2" s="10" t="s">
        <v>280</v>
      </c>
      <c r="I2" s="10" t="s">
        <v>342</v>
      </c>
      <c r="J2" s="10" t="s">
        <v>279</v>
      </c>
      <c r="K2" s="15" t="s">
        <v>343</v>
      </c>
      <c r="L2" s="10" t="s">
        <v>310</v>
      </c>
      <c r="M2" s="11" t="n">
        <f aca="false">IF(L2="","",IFERROR(INDEX(Prioridade_SLA!$B$2:$B$5,MATCH(L2,Prioridade_SLA!$A$2:$A$5,0)),""))</f>
        <v>4</v>
      </c>
      <c r="N2" s="16" t="n">
        <f aca="false">IF(OR(B2="",M2=""),"",B2+M2/24)</f>
        <v>46302.5625</v>
      </c>
      <c r="O2" s="10" t="s">
        <v>344</v>
      </c>
      <c r="P2" s="10" t="s">
        <v>345</v>
      </c>
      <c r="Q2" s="14" t="n">
        <v>46302.5</v>
      </c>
      <c r="R2" s="17" t="n">
        <f aca="false">IF(OR(B2="",Q2=""),"",(Q2-B2)*24)</f>
        <v>2.5</v>
      </c>
      <c r="S2" s="11" t="str">
        <f aca="false">IF(OR(N2="",Q2=""),"",IF(Q2&lt;=N2,"Sim","Não"))</f>
        <v>Sim</v>
      </c>
      <c r="T2" s="15" t="s">
        <v>346</v>
      </c>
      <c r="U2" s="10" t="s">
        <v>347</v>
      </c>
      <c r="V2" s="10"/>
    </row>
    <row r="3" customFormat="false" ht="15" hidden="false" customHeight="false" outlineLevel="0" collapsed="false">
      <c r="A3" s="12"/>
      <c r="B3" s="18"/>
      <c r="C3" s="12"/>
      <c r="D3" s="11" t="str">
        <f aca="false">IF(C3="","",IFERROR(INDEX(Unidades!$B$2:$B$218,MATCH(C3,Unidades!$A$2:$A$218,0)),"Código não encontrado"))</f>
        <v/>
      </c>
      <c r="E3" s="11" t="str">
        <f aca="false">IF(C3="","",IFERROR(INDEX(Unidades!$C$2:$C$218,MATCH(C3,Unidades!$A$2:$A$218,0)),""))</f>
        <v/>
      </c>
      <c r="F3" s="12"/>
      <c r="G3" s="12"/>
      <c r="H3" s="12"/>
      <c r="I3" s="12"/>
      <c r="J3" s="12"/>
      <c r="K3" s="19"/>
      <c r="L3" s="12"/>
      <c r="M3" s="11" t="str">
        <f aca="false">IF(L3="","",IFERROR(INDEX(Prioridade_SLA!$B$2:$B$5,MATCH(L3,Prioridade_SLA!$A$2:$A$5,0)),""))</f>
        <v/>
      </c>
      <c r="N3" s="16" t="str">
        <f aca="false">IF(OR(B3="",M3=""),"",B3+M3/24)</f>
        <v/>
      </c>
      <c r="O3" s="12"/>
      <c r="P3" s="12"/>
      <c r="Q3" s="18"/>
      <c r="R3" s="17" t="str">
        <f aca="false">IF(OR(B3="",Q3=""),"",(Q3-B3)*24)</f>
        <v/>
      </c>
      <c r="S3" s="11" t="str">
        <f aca="false">IF(OR(N3="",Q3=""),"",IF(Q3&lt;=N3,"Sim","Não"))</f>
        <v/>
      </c>
      <c r="T3" s="19"/>
      <c r="U3" s="12"/>
      <c r="V3" s="12"/>
    </row>
    <row r="4" customFormat="false" ht="15" hidden="false" customHeight="false" outlineLevel="0" collapsed="false">
      <c r="A4" s="12"/>
      <c r="B4" s="18"/>
      <c r="C4" s="12"/>
      <c r="D4" s="11" t="str">
        <f aca="false">IF(C4="","",IFERROR(INDEX(Unidades!$B$2:$B$218,MATCH(C4,Unidades!$A$2:$A$218,0)),"Código não encontrado"))</f>
        <v/>
      </c>
      <c r="E4" s="11" t="str">
        <f aca="false">IF(C4="","",IFERROR(INDEX(Unidades!$C$2:$C$218,MATCH(C4,Unidades!$A$2:$A$218,0)),""))</f>
        <v/>
      </c>
      <c r="F4" s="12"/>
      <c r="G4" s="12"/>
      <c r="H4" s="12"/>
      <c r="I4" s="12"/>
      <c r="J4" s="12"/>
      <c r="K4" s="19"/>
      <c r="L4" s="12"/>
      <c r="M4" s="11" t="str">
        <f aca="false">IF(L4="","",IFERROR(INDEX(Prioridade_SLA!$B$2:$B$5,MATCH(L4,Prioridade_SLA!$A$2:$A$5,0)),""))</f>
        <v/>
      </c>
      <c r="N4" s="16" t="str">
        <f aca="false">IF(OR(B4="",M4=""),"",B4+M4/24)</f>
        <v/>
      </c>
      <c r="O4" s="12"/>
      <c r="P4" s="12"/>
      <c r="Q4" s="18"/>
      <c r="R4" s="17" t="str">
        <f aca="false">IF(OR(B4="",Q4=""),"",(Q4-B4)*24)</f>
        <v/>
      </c>
      <c r="S4" s="11" t="str">
        <f aca="false">IF(OR(N4="",Q4=""),"",IF(Q4&lt;=N4,"Sim","Não"))</f>
        <v/>
      </c>
      <c r="T4" s="19"/>
      <c r="U4" s="12"/>
      <c r="V4" s="12"/>
    </row>
    <row r="5" customFormat="false" ht="15" hidden="false" customHeight="false" outlineLevel="0" collapsed="false">
      <c r="A5" s="12"/>
      <c r="B5" s="18"/>
      <c r="C5" s="12"/>
      <c r="D5" s="11" t="str">
        <f aca="false">IF(C5="","",IFERROR(INDEX(Unidades!$B$2:$B$218,MATCH(C5,Unidades!$A$2:$A$218,0)),"Código não encontrado"))</f>
        <v/>
      </c>
      <c r="E5" s="11" t="str">
        <f aca="false">IF(C5="","",IFERROR(INDEX(Unidades!$C$2:$C$218,MATCH(C5,Unidades!$A$2:$A$218,0)),""))</f>
        <v/>
      </c>
      <c r="F5" s="12"/>
      <c r="G5" s="12"/>
      <c r="H5" s="12"/>
      <c r="I5" s="12"/>
      <c r="J5" s="12"/>
      <c r="K5" s="19"/>
      <c r="L5" s="12"/>
      <c r="M5" s="11" t="str">
        <f aca="false">IF(L5="","",IFERROR(INDEX(Prioridade_SLA!$B$2:$B$5,MATCH(L5,Prioridade_SLA!$A$2:$A$5,0)),""))</f>
        <v/>
      </c>
      <c r="N5" s="16" t="str">
        <f aca="false">IF(OR(B5="",M5=""),"",B5+M5/24)</f>
        <v/>
      </c>
      <c r="O5" s="12"/>
      <c r="P5" s="12"/>
      <c r="Q5" s="18"/>
      <c r="R5" s="17" t="str">
        <f aca="false">IF(OR(B5="",Q5=""),"",(Q5-B5)*24)</f>
        <v/>
      </c>
      <c r="S5" s="11" t="str">
        <f aca="false">IF(OR(N5="",Q5=""),"",IF(Q5&lt;=N5,"Sim","Não"))</f>
        <v/>
      </c>
      <c r="T5" s="19"/>
      <c r="U5" s="12"/>
      <c r="V5" s="12"/>
    </row>
    <row r="6" customFormat="false" ht="15" hidden="false" customHeight="false" outlineLevel="0" collapsed="false">
      <c r="A6" s="12"/>
      <c r="B6" s="18"/>
      <c r="C6" s="12"/>
      <c r="D6" s="11" t="str">
        <f aca="false">IF(C6="","",IFERROR(INDEX(Unidades!$B$2:$B$218,MATCH(C6,Unidades!$A$2:$A$218,0)),"Código não encontrado"))</f>
        <v/>
      </c>
      <c r="E6" s="11" t="str">
        <f aca="false">IF(C6="","",IFERROR(INDEX(Unidades!$C$2:$C$218,MATCH(C6,Unidades!$A$2:$A$218,0)),""))</f>
        <v/>
      </c>
      <c r="F6" s="12"/>
      <c r="G6" s="12"/>
      <c r="H6" s="12"/>
      <c r="I6" s="12"/>
      <c r="J6" s="12"/>
      <c r="K6" s="19"/>
      <c r="L6" s="12"/>
      <c r="M6" s="11" t="str">
        <f aca="false">IF(L6="","",IFERROR(INDEX(Prioridade_SLA!$B$2:$B$5,MATCH(L6,Prioridade_SLA!$A$2:$A$5,0)),""))</f>
        <v/>
      </c>
      <c r="N6" s="16" t="str">
        <f aca="false">IF(OR(B6="",M6=""),"",B6+M6/24)</f>
        <v/>
      </c>
      <c r="O6" s="12"/>
      <c r="P6" s="12"/>
      <c r="Q6" s="18"/>
      <c r="R6" s="17" t="str">
        <f aca="false">IF(OR(B6="",Q6=""),"",(Q6-B6)*24)</f>
        <v/>
      </c>
      <c r="S6" s="11" t="str">
        <f aca="false">IF(OR(N6="",Q6=""),"",IF(Q6&lt;=N6,"Sim","Não"))</f>
        <v/>
      </c>
      <c r="T6" s="19"/>
      <c r="U6" s="12"/>
      <c r="V6" s="12"/>
    </row>
    <row r="7" customFormat="false" ht="15" hidden="false" customHeight="false" outlineLevel="0" collapsed="false">
      <c r="A7" s="12"/>
      <c r="B7" s="18"/>
      <c r="C7" s="12"/>
      <c r="D7" s="11" t="str">
        <f aca="false">IF(C7="","",IFERROR(INDEX(Unidades!$B$2:$B$218,MATCH(C7,Unidades!$A$2:$A$218,0)),"Código não encontrado"))</f>
        <v/>
      </c>
      <c r="E7" s="11" t="str">
        <f aca="false">IF(C7="","",IFERROR(INDEX(Unidades!$C$2:$C$218,MATCH(C7,Unidades!$A$2:$A$218,0)),""))</f>
        <v/>
      </c>
      <c r="F7" s="12"/>
      <c r="G7" s="12"/>
      <c r="H7" s="12"/>
      <c r="I7" s="12"/>
      <c r="J7" s="12"/>
      <c r="K7" s="19"/>
      <c r="L7" s="12"/>
      <c r="M7" s="11" t="str">
        <f aca="false">IF(L7="","",IFERROR(INDEX(Prioridade_SLA!$B$2:$B$5,MATCH(L7,Prioridade_SLA!$A$2:$A$5,0)),""))</f>
        <v/>
      </c>
      <c r="N7" s="16" t="str">
        <f aca="false">IF(OR(B7="",M7=""),"",B7+M7/24)</f>
        <v/>
      </c>
      <c r="O7" s="12"/>
      <c r="P7" s="12"/>
      <c r="Q7" s="18"/>
      <c r="R7" s="17" t="str">
        <f aca="false">IF(OR(B7="",Q7=""),"",(Q7-B7)*24)</f>
        <v/>
      </c>
      <c r="S7" s="11" t="str">
        <f aca="false">IF(OR(N7="",Q7=""),"",IF(Q7&lt;=N7,"Sim","Não"))</f>
        <v/>
      </c>
      <c r="T7" s="19"/>
      <c r="U7" s="12"/>
      <c r="V7" s="12"/>
    </row>
    <row r="8" customFormat="false" ht="15" hidden="false" customHeight="false" outlineLevel="0" collapsed="false">
      <c r="A8" s="12"/>
      <c r="B8" s="18"/>
      <c r="C8" s="12"/>
      <c r="D8" s="11" t="str">
        <f aca="false">IF(C8="","",IFERROR(INDEX(Unidades!$B$2:$B$218,MATCH(C8,Unidades!$A$2:$A$218,0)),"Código não encontrado"))</f>
        <v/>
      </c>
      <c r="E8" s="11" t="str">
        <f aca="false">IF(C8="","",IFERROR(INDEX(Unidades!$C$2:$C$218,MATCH(C8,Unidades!$A$2:$A$218,0)),""))</f>
        <v/>
      </c>
      <c r="F8" s="12"/>
      <c r="G8" s="12"/>
      <c r="H8" s="12"/>
      <c r="I8" s="12"/>
      <c r="J8" s="12"/>
      <c r="K8" s="19"/>
      <c r="L8" s="12"/>
      <c r="M8" s="11" t="str">
        <f aca="false">IF(L8="","",IFERROR(INDEX(Prioridade_SLA!$B$2:$B$5,MATCH(L8,Prioridade_SLA!$A$2:$A$5,0)),""))</f>
        <v/>
      </c>
      <c r="N8" s="16" t="str">
        <f aca="false">IF(OR(B8="",M8=""),"",B8+M8/24)</f>
        <v/>
      </c>
      <c r="O8" s="12"/>
      <c r="P8" s="12"/>
      <c r="Q8" s="18"/>
      <c r="R8" s="17" t="str">
        <f aca="false">IF(OR(B8="",Q8=""),"",(Q8-B8)*24)</f>
        <v/>
      </c>
      <c r="S8" s="11" t="str">
        <f aca="false">IF(OR(N8="",Q8=""),"",IF(Q8&lt;=N8,"Sim","Não"))</f>
        <v/>
      </c>
      <c r="T8" s="19"/>
      <c r="U8" s="12"/>
      <c r="V8" s="12"/>
    </row>
    <row r="9" customFormat="false" ht="15" hidden="false" customHeight="false" outlineLevel="0" collapsed="false">
      <c r="A9" s="12"/>
      <c r="B9" s="18"/>
      <c r="C9" s="12"/>
      <c r="D9" s="11" t="str">
        <f aca="false">IF(C9="","",IFERROR(INDEX(Unidades!$B$2:$B$218,MATCH(C9,Unidades!$A$2:$A$218,0)),"Código não encontrado"))</f>
        <v/>
      </c>
      <c r="E9" s="11" t="str">
        <f aca="false">IF(C9="","",IFERROR(INDEX(Unidades!$C$2:$C$218,MATCH(C9,Unidades!$A$2:$A$218,0)),""))</f>
        <v/>
      </c>
      <c r="F9" s="12"/>
      <c r="G9" s="12"/>
      <c r="H9" s="12"/>
      <c r="I9" s="12"/>
      <c r="J9" s="12"/>
      <c r="K9" s="19"/>
      <c r="L9" s="12"/>
      <c r="M9" s="11" t="str">
        <f aca="false">IF(L9="","",IFERROR(INDEX(Prioridade_SLA!$B$2:$B$5,MATCH(L9,Prioridade_SLA!$A$2:$A$5,0)),""))</f>
        <v/>
      </c>
      <c r="N9" s="16" t="str">
        <f aca="false">IF(OR(B9="",M9=""),"",B9+M9/24)</f>
        <v/>
      </c>
      <c r="O9" s="12"/>
      <c r="P9" s="12"/>
      <c r="Q9" s="18"/>
      <c r="R9" s="17" t="str">
        <f aca="false">IF(OR(B9="",Q9=""),"",(Q9-B9)*24)</f>
        <v/>
      </c>
      <c r="S9" s="11" t="str">
        <f aca="false">IF(OR(N9="",Q9=""),"",IF(Q9&lt;=N9,"Sim","Não"))</f>
        <v/>
      </c>
      <c r="T9" s="19"/>
      <c r="U9" s="12"/>
      <c r="V9" s="12"/>
    </row>
    <row r="10" customFormat="false" ht="15" hidden="false" customHeight="false" outlineLevel="0" collapsed="false">
      <c r="A10" s="12"/>
      <c r="B10" s="18"/>
      <c r="C10" s="12"/>
      <c r="D10" s="11" t="str">
        <f aca="false">IF(C10="","",IFERROR(INDEX(Unidades!$B$2:$B$218,MATCH(C10,Unidades!$A$2:$A$218,0)),"Código não encontrado"))</f>
        <v/>
      </c>
      <c r="E10" s="11" t="str">
        <f aca="false">IF(C10="","",IFERROR(INDEX(Unidades!$C$2:$C$218,MATCH(C10,Unidades!$A$2:$A$218,0)),""))</f>
        <v/>
      </c>
      <c r="F10" s="12"/>
      <c r="G10" s="12"/>
      <c r="H10" s="12"/>
      <c r="I10" s="12"/>
      <c r="J10" s="12"/>
      <c r="K10" s="19"/>
      <c r="L10" s="12"/>
      <c r="M10" s="11" t="str">
        <f aca="false">IF(L10="","",IFERROR(INDEX(Prioridade_SLA!$B$2:$B$5,MATCH(L10,Prioridade_SLA!$A$2:$A$5,0)),""))</f>
        <v/>
      </c>
      <c r="N10" s="16" t="str">
        <f aca="false">IF(OR(B10="",M10=""),"",B10+M10/24)</f>
        <v/>
      </c>
      <c r="O10" s="12"/>
      <c r="P10" s="12"/>
      <c r="Q10" s="18"/>
      <c r="R10" s="17" t="str">
        <f aca="false">IF(OR(B10="",Q10=""),"",(Q10-B10)*24)</f>
        <v/>
      </c>
      <c r="S10" s="11" t="str">
        <f aca="false">IF(OR(N10="",Q10=""),"",IF(Q10&lt;=N10,"Sim","Não"))</f>
        <v/>
      </c>
      <c r="T10" s="19"/>
      <c r="U10" s="12"/>
      <c r="V10" s="12"/>
    </row>
    <row r="11" customFormat="false" ht="15" hidden="false" customHeight="false" outlineLevel="0" collapsed="false">
      <c r="A11" s="12"/>
      <c r="B11" s="18"/>
      <c r="C11" s="12"/>
      <c r="D11" s="11" t="str">
        <f aca="false">IF(C11="","",IFERROR(INDEX(Unidades!$B$2:$B$218,MATCH(C11,Unidades!$A$2:$A$218,0)),"Código não encontrado"))</f>
        <v/>
      </c>
      <c r="E11" s="11" t="str">
        <f aca="false">IF(C11="","",IFERROR(INDEX(Unidades!$C$2:$C$218,MATCH(C11,Unidades!$A$2:$A$218,0)),""))</f>
        <v/>
      </c>
      <c r="F11" s="12"/>
      <c r="G11" s="12"/>
      <c r="H11" s="12"/>
      <c r="I11" s="12"/>
      <c r="J11" s="12"/>
      <c r="K11" s="19"/>
      <c r="L11" s="12"/>
      <c r="M11" s="11" t="str">
        <f aca="false">IF(L11="","",IFERROR(INDEX(Prioridade_SLA!$B$2:$B$5,MATCH(L11,Prioridade_SLA!$A$2:$A$5,0)),""))</f>
        <v/>
      </c>
      <c r="N11" s="16" t="str">
        <f aca="false">IF(OR(B11="",M11=""),"",B11+M11/24)</f>
        <v/>
      </c>
      <c r="O11" s="12"/>
      <c r="P11" s="12"/>
      <c r="Q11" s="18"/>
      <c r="R11" s="17" t="str">
        <f aca="false">IF(OR(B11="",Q11=""),"",(Q11-B11)*24)</f>
        <v/>
      </c>
      <c r="S11" s="11" t="str">
        <f aca="false">IF(OR(N11="",Q11=""),"",IF(Q11&lt;=N11,"Sim","Não"))</f>
        <v/>
      </c>
      <c r="T11" s="19"/>
      <c r="U11" s="12"/>
      <c r="V11" s="12"/>
    </row>
    <row r="12" customFormat="false" ht="15" hidden="false" customHeight="false" outlineLevel="0" collapsed="false">
      <c r="A12" s="12"/>
      <c r="B12" s="18"/>
      <c r="C12" s="12"/>
      <c r="D12" s="11" t="str">
        <f aca="false">IF(C12="","",IFERROR(INDEX(Unidades!$B$2:$B$218,MATCH(C12,Unidades!$A$2:$A$218,0)),"Código não encontrado"))</f>
        <v/>
      </c>
      <c r="E12" s="11" t="str">
        <f aca="false">IF(C12="","",IFERROR(INDEX(Unidades!$C$2:$C$218,MATCH(C12,Unidades!$A$2:$A$218,0)),""))</f>
        <v/>
      </c>
      <c r="F12" s="12"/>
      <c r="G12" s="12"/>
      <c r="H12" s="12"/>
      <c r="I12" s="12"/>
      <c r="J12" s="12"/>
      <c r="K12" s="19"/>
      <c r="L12" s="12"/>
      <c r="M12" s="11" t="str">
        <f aca="false">IF(L12="","",IFERROR(INDEX(Prioridade_SLA!$B$2:$B$5,MATCH(L12,Prioridade_SLA!$A$2:$A$5,0)),""))</f>
        <v/>
      </c>
      <c r="N12" s="16" t="str">
        <f aca="false">IF(OR(B12="",M12=""),"",B12+M12/24)</f>
        <v/>
      </c>
      <c r="O12" s="12"/>
      <c r="P12" s="12"/>
      <c r="Q12" s="18"/>
      <c r="R12" s="17" t="str">
        <f aca="false">IF(OR(B12="",Q12=""),"",(Q12-B12)*24)</f>
        <v/>
      </c>
      <c r="S12" s="11" t="str">
        <f aca="false">IF(OR(N12="",Q12=""),"",IF(Q12&lt;=N12,"Sim","Não"))</f>
        <v/>
      </c>
      <c r="T12" s="19"/>
      <c r="U12" s="12"/>
      <c r="V12" s="12"/>
    </row>
    <row r="13" customFormat="false" ht="15" hidden="false" customHeight="false" outlineLevel="0" collapsed="false">
      <c r="A13" s="12"/>
      <c r="B13" s="18"/>
      <c r="C13" s="12"/>
      <c r="D13" s="11" t="str">
        <f aca="false">IF(C13="","",IFERROR(INDEX(Unidades!$B$2:$B$218,MATCH(C13,Unidades!$A$2:$A$218,0)),"Código não encontrado"))</f>
        <v/>
      </c>
      <c r="E13" s="11" t="str">
        <f aca="false">IF(C13="","",IFERROR(INDEX(Unidades!$C$2:$C$218,MATCH(C13,Unidades!$A$2:$A$218,0)),""))</f>
        <v/>
      </c>
      <c r="F13" s="12"/>
      <c r="G13" s="12"/>
      <c r="H13" s="12"/>
      <c r="I13" s="12"/>
      <c r="J13" s="12"/>
      <c r="K13" s="19"/>
      <c r="L13" s="12"/>
      <c r="M13" s="11" t="str">
        <f aca="false">IF(L13="","",IFERROR(INDEX(Prioridade_SLA!$B$2:$B$5,MATCH(L13,Prioridade_SLA!$A$2:$A$5,0)),""))</f>
        <v/>
      </c>
      <c r="N13" s="16" t="str">
        <f aca="false">IF(OR(B13="",M13=""),"",B13+M13/24)</f>
        <v/>
      </c>
      <c r="O13" s="12"/>
      <c r="P13" s="12"/>
      <c r="Q13" s="18"/>
      <c r="R13" s="17" t="str">
        <f aca="false">IF(OR(B13="",Q13=""),"",(Q13-B13)*24)</f>
        <v/>
      </c>
      <c r="S13" s="11" t="str">
        <f aca="false">IF(OR(N13="",Q13=""),"",IF(Q13&lt;=N13,"Sim","Não"))</f>
        <v/>
      </c>
      <c r="T13" s="19"/>
      <c r="U13" s="12"/>
      <c r="V13" s="12"/>
    </row>
    <row r="14" customFormat="false" ht="15" hidden="false" customHeight="false" outlineLevel="0" collapsed="false">
      <c r="A14" s="12"/>
      <c r="B14" s="18"/>
      <c r="C14" s="12"/>
      <c r="D14" s="11" t="str">
        <f aca="false">IF(C14="","",IFERROR(INDEX(Unidades!$B$2:$B$218,MATCH(C14,Unidades!$A$2:$A$218,0)),"Código não encontrado"))</f>
        <v/>
      </c>
      <c r="E14" s="11" t="str">
        <f aca="false">IF(C14="","",IFERROR(INDEX(Unidades!$C$2:$C$218,MATCH(C14,Unidades!$A$2:$A$218,0)),""))</f>
        <v/>
      </c>
      <c r="F14" s="12"/>
      <c r="G14" s="12"/>
      <c r="H14" s="12"/>
      <c r="I14" s="12"/>
      <c r="J14" s="12"/>
      <c r="K14" s="19"/>
      <c r="L14" s="12"/>
      <c r="M14" s="11" t="str">
        <f aca="false">IF(L14="","",IFERROR(INDEX(Prioridade_SLA!$B$2:$B$5,MATCH(L14,Prioridade_SLA!$A$2:$A$5,0)),""))</f>
        <v/>
      </c>
      <c r="N14" s="16" t="str">
        <f aca="false">IF(OR(B14="",M14=""),"",B14+M14/24)</f>
        <v/>
      </c>
      <c r="O14" s="12"/>
      <c r="P14" s="12"/>
      <c r="Q14" s="18"/>
      <c r="R14" s="17" t="str">
        <f aca="false">IF(OR(B14="",Q14=""),"",(Q14-B14)*24)</f>
        <v/>
      </c>
      <c r="S14" s="11" t="str">
        <f aca="false">IF(OR(N14="",Q14=""),"",IF(Q14&lt;=N14,"Sim","Não"))</f>
        <v/>
      </c>
      <c r="T14" s="19"/>
      <c r="U14" s="12"/>
      <c r="V14" s="12"/>
    </row>
    <row r="15" customFormat="false" ht="15" hidden="false" customHeight="false" outlineLevel="0" collapsed="false">
      <c r="A15" s="12"/>
      <c r="B15" s="18"/>
      <c r="C15" s="12"/>
      <c r="D15" s="11" t="str">
        <f aca="false">IF(C15="","",IFERROR(INDEX(Unidades!$B$2:$B$218,MATCH(C15,Unidades!$A$2:$A$218,0)),"Código não encontrado"))</f>
        <v/>
      </c>
      <c r="E15" s="11" t="str">
        <f aca="false">IF(C15="","",IFERROR(INDEX(Unidades!$C$2:$C$218,MATCH(C15,Unidades!$A$2:$A$218,0)),""))</f>
        <v/>
      </c>
      <c r="F15" s="12"/>
      <c r="G15" s="12"/>
      <c r="H15" s="12"/>
      <c r="I15" s="12"/>
      <c r="J15" s="12"/>
      <c r="K15" s="19"/>
      <c r="L15" s="12"/>
      <c r="M15" s="11" t="str">
        <f aca="false">IF(L15="","",IFERROR(INDEX(Prioridade_SLA!$B$2:$B$5,MATCH(L15,Prioridade_SLA!$A$2:$A$5,0)),""))</f>
        <v/>
      </c>
      <c r="N15" s="16" t="str">
        <f aca="false">IF(OR(B15="",M15=""),"",B15+M15/24)</f>
        <v/>
      </c>
      <c r="O15" s="12"/>
      <c r="P15" s="12"/>
      <c r="Q15" s="18"/>
      <c r="R15" s="17" t="str">
        <f aca="false">IF(OR(B15="",Q15=""),"",(Q15-B15)*24)</f>
        <v/>
      </c>
      <c r="S15" s="11" t="str">
        <f aca="false">IF(OR(N15="",Q15=""),"",IF(Q15&lt;=N15,"Sim","Não"))</f>
        <v/>
      </c>
      <c r="T15" s="19"/>
      <c r="U15" s="12"/>
      <c r="V15" s="12"/>
    </row>
    <row r="16" customFormat="false" ht="15" hidden="false" customHeight="false" outlineLevel="0" collapsed="false">
      <c r="A16" s="12"/>
      <c r="B16" s="18"/>
      <c r="C16" s="12"/>
      <c r="D16" s="11" t="str">
        <f aca="false">IF(C16="","",IFERROR(INDEX(Unidades!$B$2:$B$218,MATCH(C16,Unidades!$A$2:$A$218,0)),"Código não encontrado"))</f>
        <v/>
      </c>
      <c r="E16" s="11" t="str">
        <f aca="false">IF(C16="","",IFERROR(INDEX(Unidades!$C$2:$C$218,MATCH(C16,Unidades!$A$2:$A$218,0)),""))</f>
        <v/>
      </c>
      <c r="F16" s="12"/>
      <c r="G16" s="12"/>
      <c r="H16" s="12"/>
      <c r="I16" s="12"/>
      <c r="J16" s="12"/>
      <c r="K16" s="19"/>
      <c r="L16" s="12"/>
      <c r="M16" s="11" t="str">
        <f aca="false">IF(L16="","",IFERROR(INDEX(Prioridade_SLA!$B$2:$B$5,MATCH(L16,Prioridade_SLA!$A$2:$A$5,0)),""))</f>
        <v/>
      </c>
      <c r="N16" s="16" t="str">
        <f aca="false">IF(OR(B16="",M16=""),"",B16+M16/24)</f>
        <v/>
      </c>
      <c r="O16" s="12"/>
      <c r="P16" s="12"/>
      <c r="Q16" s="18"/>
      <c r="R16" s="17" t="str">
        <f aca="false">IF(OR(B16="",Q16=""),"",(Q16-B16)*24)</f>
        <v/>
      </c>
      <c r="S16" s="11" t="str">
        <f aca="false">IF(OR(N16="",Q16=""),"",IF(Q16&lt;=N16,"Sim","Não"))</f>
        <v/>
      </c>
      <c r="T16" s="19"/>
      <c r="U16" s="12"/>
      <c r="V16" s="12"/>
    </row>
    <row r="17" customFormat="false" ht="15" hidden="false" customHeight="false" outlineLevel="0" collapsed="false">
      <c r="A17" s="12"/>
      <c r="B17" s="18"/>
      <c r="C17" s="12"/>
      <c r="D17" s="11" t="str">
        <f aca="false">IF(C17="","",IFERROR(INDEX(Unidades!$B$2:$B$218,MATCH(C17,Unidades!$A$2:$A$218,0)),"Código não encontrado"))</f>
        <v/>
      </c>
      <c r="E17" s="11" t="str">
        <f aca="false">IF(C17="","",IFERROR(INDEX(Unidades!$C$2:$C$218,MATCH(C17,Unidades!$A$2:$A$218,0)),""))</f>
        <v/>
      </c>
      <c r="F17" s="12"/>
      <c r="G17" s="12"/>
      <c r="H17" s="12"/>
      <c r="I17" s="12"/>
      <c r="J17" s="12"/>
      <c r="K17" s="19"/>
      <c r="L17" s="12"/>
      <c r="M17" s="11" t="str">
        <f aca="false">IF(L17="","",IFERROR(INDEX(Prioridade_SLA!$B$2:$B$5,MATCH(L17,Prioridade_SLA!$A$2:$A$5,0)),""))</f>
        <v/>
      </c>
      <c r="N17" s="16" t="str">
        <f aca="false">IF(OR(B17="",M17=""),"",B17+M17/24)</f>
        <v/>
      </c>
      <c r="O17" s="12"/>
      <c r="P17" s="12"/>
      <c r="Q17" s="18"/>
      <c r="R17" s="17" t="str">
        <f aca="false">IF(OR(B17="",Q17=""),"",(Q17-B17)*24)</f>
        <v/>
      </c>
      <c r="S17" s="11" t="str">
        <f aca="false">IF(OR(N17="",Q17=""),"",IF(Q17&lt;=N17,"Sim","Não"))</f>
        <v/>
      </c>
      <c r="T17" s="19"/>
      <c r="U17" s="12"/>
      <c r="V17" s="12"/>
    </row>
    <row r="18" customFormat="false" ht="15" hidden="false" customHeight="false" outlineLevel="0" collapsed="false">
      <c r="A18" s="12"/>
      <c r="B18" s="18"/>
      <c r="C18" s="12"/>
      <c r="D18" s="11" t="str">
        <f aca="false">IF(C18="","",IFERROR(INDEX(Unidades!$B$2:$B$218,MATCH(C18,Unidades!$A$2:$A$218,0)),"Código não encontrado"))</f>
        <v/>
      </c>
      <c r="E18" s="11" t="str">
        <f aca="false">IF(C18="","",IFERROR(INDEX(Unidades!$C$2:$C$218,MATCH(C18,Unidades!$A$2:$A$218,0)),""))</f>
        <v/>
      </c>
      <c r="F18" s="12"/>
      <c r="G18" s="12"/>
      <c r="H18" s="12"/>
      <c r="I18" s="12"/>
      <c r="J18" s="12"/>
      <c r="K18" s="19"/>
      <c r="L18" s="12"/>
      <c r="M18" s="11" t="str">
        <f aca="false">IF(L18="","",IFERROR(INDEX(Prioridade_SLA!$B$2:$B$5,MATCH(L18,Prioridade_SLA!$A$2:$A$5,0)),""))</f>
        <v/>
      </c>
      <c r="N18" s="16" t="str">
        <f aca="false">IF(OR(B18="",M18=""),"",B18+M18/24)</f>
        <v/>
      </c>
      <c r="O18" s="12"/>
      <c r="P18" s="12"/>
      <c r="Q18" s="18"/>
      <c r="R18" s="17" t="str">
        <f aca="false">IF(OR(B18="",Q18=""),"",(Q18-B18)*24)</f>
        <v/>
      </c>
      <c r="S18" s="11" t="str">
        <f aca="false">IF(OR(N18="",Q18=""),"",IF(Q18&lt;=N18,"Sim","Não"))</f>
        <v/>
      </c>
      <c r="T18" s="19"/>
      <c r="U18" s="12"/>
      <c r="V18" s="12"/>
    </row>
    <row r="19" customFormat="false" ht="15" hidden="false" customHeight="false" outlineLevel="0" collapsed="false">
      <c r="A19" s="12"/>
      <c r="B19" s="18"/>
      <c r="C19" s="12"/>
      <c r="D19" s="11" t="str">
        <f aca="false">IF(C19="","",IFERROR(INDEX(Unidades!$B$2:$B$218,MATCH(C19,Unidades!$A$2:$A$218,0)),"Código não encontrado"))</f>
        <v/>
      </c>
      <c r="E19" s="11" t="str">
        <f aca="false">IF(C19="","",IFERROR(INDEX(Unidades!$C$2:$C$218,MATCH(C19,Unidades!$A$2:$A$218,0)),""))</f>
        <v/>
      </c>
      <c r="F19" s="12"/>
      <c r="G19" s="12"/>
      <c r="H19" s="12"/>
      <c r="I19" s="12"/>
      <c r="J19" s="12"/>
      <c r="K19" s="19"/>
      <c r="L19" s="12"/>
      <c r="M19" s="11" t="str">
        <f aca="false">IF(L19="","",IFERROR(INDEX(Prioridade_SLA!$B$2:$B$5,MATCH(L19,Prioridade_SLA!$A$2:$A$5,0)),""))</f>
        <v/>
      </c>
      <c r="N19" s="16" t="str">
        <f aca="false">IF(OR(B19="",M19=""),"",B19+M19/24)</f>
        <v/>
      </c>
      <c r="O19" s="12"/>
      <c r="P19" s="12"/>
      <c r="Q19" s="18"/>
      <c r="R19" s="17" t="str">
        <f aca="false">IF(OR(B19="",Q19=""),"",(Q19-B19)*24)</f>
        <v/>
      </c>
      <c r="S19" s="11" t="str">
        <f aca="false">IF(OR(N19="",Q19=""),"",IF(Q19&lt;=N19,"Sim","Não"))</f>
        <v/>
      </c>
      <c r="T19" s="19"/>
      <c r="U19" s="12"/>
      <c r="V19" s="12"/>
    </row>
    <row r="20" customFormat="false" ht="15" hidden="false" customHeight="false" outlineLevel="0" collapsed="false">
      <c r="A20" s="12"/>
      <c r="B20" s="18"/>
      <c r="C20" s="12"/>
      <c r="D20" s="11" t="str">
        <f aca="false">IF(C20="","",IFERROR(INDEX(Unidades!$B$2:$B$218,MATCH(C20,Unidades!$A$2:$A$218,0)),"Código não encontrado"))</f>
        <v/>
      </c>
      <c r="E20" s="11" t="str">
        <f aca="false">IF(C20="","",IFERROR(INDEX(Unidades!$C$2:$C$218,MATCH(C20,Unidades!$A$2:$A$218,0)),""))</f>
        <v/>
      </c>
      <c r="F20" s="12"/>
      <c r="G20" s="12"/>
      <c r="H20" s="12"/>
      <c r="I20" s="12"/>
      <c r="J20" s="12"/>
      <c r="K20" s="19"/>
      <c r="L20" s="12"/>
      <c r="M20" s="11" t="str">
        <f aca="false">IF(L20="","",IFERROR(INDEX(Prioridade_SLA!$B$2:$B$5,MATCH(L20,Prioridade_SLA!$A$2:$A$5,0)),""))</f>
        <v/>
      </c>
      <c r="N20" s="16" t="str">
        <f aca="false">IF(OR(B20="",M20=""),"",B20+M20/24)</f>
        <v/>
      </c>
      <c r="O20" s="12"/>
      <c r="P20" s="12"/>
      <c r="Q20" s="18"/>
      <c r="R20" s="17" t="str">
        <f aca="false">IF(OR(B20="",Q20=""),"",(Q20-B20)*24)</f>
        <v/>
      </c>
      <c r="S20" s="11" t="str">
        <f aca="false">IF(OR(N20="",Q20=""),"",IF(Q20&lt;=N20,"Sim","Não"))</f>
        <v/>
      </c>
      <c r="T20" s="19"/>
      <c r="U20" s="12"/>
      <c r="V20" s="12"/>
    </row>
    <row r="21" customFormat="false" ht="15" hidden="false" customHeight="false" outlineLevel="0" collapsed="false">
      <c r="A21" s="12"/>
      <c r="B21" s="18"/>
      <c r="C21" s="12"/>
      <c r="D21" s="11" t="str">
        <f aca="false">IF(C21="","",IFERROR(INDEX(Unidades!$B$2:$B$218,MATCH(C21,Unidades!$A$2:$A$218,0)),"Código não encontrado"))</f>
        <v/>
      </c>
      <c r="E21" s="11" t="str">
        <f aca="false">IF(C21="","",IFERROR(INDEX(Unidades!$C$2:$C$218,MATCH(C21,Unidades!$A$2:$A$218,0)),""))</f>
        <v/>
      </c>
      <c r="F21" s="12"/>
      <c r="G21" s="12"/>
      <c r="H21" s="12"/>
      <c r="I21" s="12"/>
      <c r="J21" s="12"/>
      <c r="K21" s="19"/>
      <c r="L21" s="12"/>
      <c r="M21" s="11" t="str">
        <f aca="false">IF(L21="","",IFERROR(INDEX(Prioridade_SLA!$B$2:$B$5,MATCH(L21,Prioridade_SLA!$A$2:$A$5,0)),""))</f>
        <v/>
      </c>
      <c r="N21" s="16" t="str">
        <f aca="false">IF(OR(B21="",M21=""),"",B21+M21/24)</f>
        <v/>
      </c>
      <c r="O21" s="12"/>
      <c r="P21" s="12"/>
      <c r="Q21" s="18"/>
      <c r="R21" s="17" t="str">
        <f aca="false">IF(OR(B21="",Q21=""),"",(Q21-B21)*24)</f>
        <v/>
      </c>
      <c r="S21" s="11" t="str">
        <f aca="false">IF(OR(N21="",Q21=""),"",IF(Q21&lt;=N21,"Sim","Não"))</f>
        <v/>
      </c>
      <c r="T21" s="19"/>
      <c r="U21" s="12"/>
      <c r="V21" s="12"/>
    </row>
    <row r="22" customFormat="false" ht="15" hidden="false" customHeight="false" outlineLevel="0" collapsed="false">
      <c r="A22" s="12"/>
      <c r="B22" s="18"/>
      <c r="C22" s="12"/>
      <c r="D22" s="11" t="str">
        <f aca="false">IF(C22="","",IFERROR(INDEX(Unidades!$B$2:$B$218,MATCH(C22,Unidades!$A$2:$A$218,0)),"Código não encontrado"))</f>
        <v/>
      </c>
      <c r="E22" s="11" t="str">
        <f aca="false">IF(C22="","",IFERROR(INDEX(Unidades!$C$2:$C$218,MATCH(C22,Unidades!$A$2:$A$218,0)),""))</f>
        <v/>
      </c>
      <c r="F22" s="12"/>
      <c r="G22" s="12"/>
      <c r="H22" s="12"/>
      <c r="I22" s="12"/>
      <c r="J22" s="12"/>
      <c r="K22" s="19"/>
      <c r="L22" s="12"/>
      <c r="M22" s="11" t="str">
        <f aca="false">IF(L22="","",IFERROR(INDEX(Prioridade_SLA!$B$2:$B$5,MATCH(L22,Prioridade_SLA!$A$2:$A$5,0)),""))</f>
        <v/>
      </c>
      <c r="N22" s="16" t="str">
        <f aca="false">IF(OR(B22="",M22=""),"",B22+M22/24)</f>
        <v/>
      </c>
      <c r="O22" s="12"/>
      <c r="P22" s="12"/>
      <c r="Q22" s="18"/>
      <c r="R22" s="17" t="str">
        <f aca="false">IF(OR(B22="",Q22=""),"",(Q22-B22)*24)</f>
        <v/>
      </c>
      <c r="S22" s="11" t="str">
        <f aca="false">IF(OR(N22="",Q22=""),"",IF(Q22&lt;=N22,"Sim","Não"))</f>
        <v/>
      </c>
      <c r="T22" s="19"/>
      <c r="U22" s="12"/>
      <c r="V22" s="12"/>
    </row>
    <row r="23" customFormat="false" ht="15" hidden="false" customHeight="false" outlineLevel="0" collapsed="false">
      <c r="A23" s="12"/>
      <c r="B23" s="18"/>
      <c r="C23" s="12"/>
      <c r="D23" s="11" t="str">
        <f aca="false">IF(C23="","",IFERROR(INDEX(Unidades!$B$2:$B$218,MATCH(C23,Unidades!$A$2:$A$218,0)),"Código não encontrado"))</f>
        <v/>
      </c>
      <c r="E23" s="11" t="str">
        <f aca="false">IF(C23="","",IFERROR(INDEX(Unidades!$C$2:$C$218,MATCH(C23,Unidades!$A$2:$A$218,0)),""))</f>
        <v/>
      </c>
      <c r="F23" s="12"/>
      <c r="G23" s="12"/>
      <c r="H23" s="12"/>
      <c r="I23" s="12"/>
      <c r="J23" s="12"/>
      <c r="K23" s="19"/>
      <c r="L23" s="12"/>
      <c r="M23" s="11" t="str">
        <f aca="false">IF(L23="","",IFERROR(INDEX(Prioridade_SLA!$B$2:$B$5,MATCH(L23,Prioridade_SLA!$A$2:$A$5,0)),""))</f>
        <v/>
      </c>
      <c r="N23" s="16" t="str">
        <f aca="false">IF(OR(B23="",M23=""),"",B23+M23/24)</f>
        <v/>
      </c>
      <c r="O23" s="12"/>
      <c r="P23" s="12"/>
      <c r="Q23" s="18"/>
      <c r="R23" s="17" t="str">
        <f aca="false">IF(OR(B23="",Q23=""),"",(Q23-B23)*24)</f>
        <v/>
      </c>
      <c r="S23" s="11" t="str">
        <f aca="false">IF(OR(N23="",Q23=""),"",IF(Q23&lt;=N23,"Sim","Não"))</f>
        <v/>
      </c>
      <c r="T23" s="19"/>
      <c r="U23" s="12"/>
      <c r="V23" s="12"/>
    </row>
    <row r="24" customFormat="false" ht="15" hidden="false" customHeight="false" outlineLevel="0" collapsed="false">
      <c r="A24" s="12"/>
      <c r="B24" s="18"/>
      <c r="C24" s="12"/>
      <c r="D24" s="11" t="str">
        <f aca="false">IF(C24="","",IFERROR(INDEX(Unidades!$B$2:$B$218,MATCH(C24,Unidades!$A$2:$A$218,0)),"Código não encontrado"))</f>
        <v/>
      </c>
      <c r="E24" s="11" t="str">
        <f aca="false">IF(C24="","",IFERROR(INDEX(Unidades!$C$2:$C$218,MATCH(C24,Unidades!$A$2:$A$218,0)),""))</f>
        <v/>
      </c>
      <c r="F24" s="12"/>
      <c r="G24" s="12"/>
      <c r="H24" s="12"/>
      <c r="I24" s="12"/>
      <c r="J24" s="12"/>
      <c r="K24" s="19"/>
      <c r="L24" s="12"/>
      <c r="M24" s="11" t="str">
        <f aca="false">IF(L24="","",IFERROR(INDEX(Prioridade_SLA!$B$2:$B$5,MATCH(L24,Prioridade_SLA!$A$2:$A$5,0)),""))</f>
        <v/>
      </c>
      <c r="N24" s="16" t="str">
        <f aca="false">IF(OR(B24="",M24=""),"",B24+M24/24)</f>
        <v/>
      </c>
      <c r="O24" s="12"/>
      <c r="P24" s="12"/>
      <c r="Q24" s="18"/>
      <c r="R24" s="17" t="str">
        <f aca="false">IF(OR(B24="",Q24=""),"",(Q24-B24)*24)</f>
        <v/>
      </c>
      <c r="S24" s="11" t="str">
        <f aca="false">IF(OR(N24="",Q24=""),"",IF(Q24&lt;=N24,"Sim","Não"))</f>
        <v/>
      </c>
      <c r="T24" s="19"/>
      <c r="U24" s="12"/>
      <c r="V24" s="12"/>
    </row>
    <row r="25" customFormat="false" ht="15" hidden="false" customHeight="false" outlineLevel="0" collapsed="false">
      <c r="A25" s="12"/>
      <c r="B25" s="18"/>
      <c r="C25" s="12"/>
      <c r="D25" s="11" t="str">
        <f aca="false">IF(C25="","",IFERROR(INDEX(Unidades!$B$2:$B$218,MATCH(C25,Unidades!$A$2:$A$218,0)),"Código não encontrado"))</f>
        <v/>
      </c>
      <c r="E25" s="11" t="str">
        <f aca="false">IF(C25="","",IFERROR(INDEX(Unidades!$C$2:$C$218,MATCH(C25,Unidades!$A$2:$A$218,0)),""))</f>
        <v/>
      </c>
      <c r="F25" s="12"/>
      <c r="G25" s="12"/>
      <c r="H25" s="12"/>
      <c r="I25" s="12"/>
      <c r="J25" s="12"/>
      <c r="K25" s="19"/>
      <c r="L25" s="12"/>
      <c r="M25" s="11" t="str">
        <f aca="false">IF(L25="","",IFERROR(INDEX(Prioridade_SLA!$B$2:$B$5,MATCH(L25,Prioridade_SLA!$A$2:$A$5,0)),""))</f>
        <v/>
      </c>
      <c r="N25" s="16" t="str">
        <f aca="false">IF(OR(B25="",M25=""),"",B25+M25/24)</f>
        <v/>
      </c>
      <c r="O25" s="12"/>
      <c r="P25" s="12"/>
      <c r="Q25" s="18"/>
      <c r="R25" s="17" t="str">
        <f aca="false">IF(OR(B25="",Q25=""),"",(Q25-B25)*24)</f>
        <v/>
      </c>
      <c r="S25" s="11" t="str">
        <f aca="false">IF(OR(N25="",Q25=""),"",IF(Q25&lt;=N25,"Sim","Não"))</f>
        <v/>
      </c>
      <c r="T25" s="19"/>
      <c r="U25" s="12"/>
      <c r="V25" s="12"/>
    </row>
    <row r="26" customFormat="false" ht="15" hidden="false" customHeight="false" outlineLevel="0" collapsed="false">
      <c r="A26" s="12"/>
      <c r="B26" s="18"/>
      <c r="C26" s="12"/>
      <c r="D26" s="11" t="str">
        <f aca="false">IF(C26="","",IFERROR(INDEX(Unidades!$B$2:$B$218,MATCH(C26,Unidades!$A$2:$A$218,0)),"Código não encontrado"))</f>
        <v/>
      </c>
      <c r="E26" s="11" t="str">
        <f aca="false">IF(C26="","",IFERROR(INDEX(Unidades!$C$2:$C$218,MATCH(C26,Unidades!$A$2:$A$218,0)),""))</f>
        <v/>
      </c>
      <c r="F26" s="12"/>
      <c r="G26" s="12"/>
      <c r="H26" s="12"/>
      <c r="I26" s="12"/>
      <c r="J26" s="12"/>
      <c r="K26" s="19"/>
      <c r="L26" s="12"/>
      <c r="M26" s="11" t="str">
        <f aca="false">IF(L26="","",IFERROR(INDEX(Prioridade_SLA!$B$2:$B$5,MATCH(L26,Prioridade_SLA!$A$2:$A$5,0)),""))</f>
        <v/>
      </c>
      <c r="N26" s="16" t="str">
        <f aca="false">IF(OR(B26="",M26=""),"",B26+M26/24)</f>
        <v/>
      </c>
      <c r="O26" s="12"/>
      <c r="P26" s="12"/>
      <c r="Q26" s="18"/>
      <c r="R26" s="17" t="str">
        <f aca="false">IF(OR(B26="",Q26=""),"",(Q26-B26)*24)</f>
        <v/>
      </c>
      <c r="S26" s="11" t="str">
        <f aca="false">IF(OR(N26="",Q26=""),"",IF(Q26&lt;=N26,"Sim","Não"))</f>
        <v/>
      </c>
      <c r="T26" s="19"/>
      <c r="U26" s="12"/>
      <c r="V26" s="12"/>
    </row>
    <row r="27" customFormat="false" ht="15" hidden="false" customHeight="false" outlineLevel="0" collapsed="false">
      <c r="A27" s="12"/>
      <c r="B27" s="18"/>
      <c r="C27" s="12"/>
      <c r="D27" s="11" t="str">
        <f aca="false">IF(C27="","",IFERROR(INDEX(Unidades!$B$2:$B$218,MATCH(C27,Unidades!$A$2:$A$218,0)),"Código não encontrado"))</f>
        <v/>
      </c>
      <c r="E27" s="11" t="str">
        <f aca="false">IF(C27="","",IFERROR(INDEX(Unidades!$C$2:$C$218,MATCH(C27,Unidades!$A$2:$A$218,0)),""))</f>
        <v/>
      </c>
      <c r="F27" s="12"/>
      <c r="G27" s="12"/>
      <c r="H27" s="12"/>
      <c r="I27" s="12"/>
      <c r="J27" s="12"/>
      <c r="K27" s="19"/>
      <c r="L27" s="12"/>
      <c r="M27" s="11" t="str">
        <f aca="false">IF(L27="","",IFERROR(INDEX(Prioridade_SLA!$B$2:$B$5,MATCH(L27,Prioridade_SLA!$A$2:$A$5,0)),""))</f>
        <v/>
      </c>
      <c r="N27" s="16" t="str">
        <f aca="false">IF(OR(B27="",M27=""),"",B27+M27/24)</f>
        <v/>
      </c>
      <c r="O27" s="12"/>
      <c r="P27" s="12"/>
      <c r="Q27" s="18"/>
      <c r="R27" s="17" t="str">
        <f aca="false">IF(OR(B27="",Q27=""),"",(Q27-B27)*24)</f>
        <v/>
      </c>
      <c r="S27" s="11" t="str">
        <f aca="false">IF(OR(N27="",Q27=""),"",IF(Q27&lt;=N27,"Sim","Não"))</f>
        <v/>
      </c>
      <c r="T27" s="19"/>
      <c r="U27" s="12"/>
      <c r="V27" s="12"/>
    </row>
    <row r="28" customFormat="false" ht="15" hidden="false" customHeight="false" outlineLevel="0" collapsed="false">
      <c r="A28" s="12"/>
      <c r="B28" s="18"/>
      <c r="C28" s="12"/>
      <c r="D28" s="11" t="str">
        <f aca="false">IF(C28="","",IFERROR(INDEX(Unidades!$B$2:$B$218,MATCH(C28,Unidades!$A$2:$A$218,0)),"Código não encontrado"))</f>
        <v/>
      </c>
      <c r="E28" s="11" t="str">
        <f aca="false">IF(C28="","",IFERROR(INDEX(Unidades!$C$2:$C$218,MATCH(C28,Unidades!$A$2:$A$218,0)),""))</f>
        <v/>
      </c>
      <c r="F28" s="12"/>
      <c r="G28" s="12"/>
      <c r="H28" s="12"/>
      <c r="I28" s="12"/>
      <c r="J28" s="12"/>
      <c r="K28" s="19"/>
      <c r="L28" s="12"/>
      <c r="M28" s="11" t="str">
        <f aca="false">IF(L28="","",IFERROR(INDEX(Prioridade_SLA!$B$2:$B$5,MATCH(L28,Prioridade_SLA!$A$2:$A$5,0)),""))</f>
        <v/>
      </c>
      <c r="N28" s="16" t="str">
        <f aca="false">IF(OR(B28="",M28=""),"",B28+M28/24)</f>
        <v/>
      </c>
      <c r="O28" s="12"/>
      <c r="P28" s="12"/>
      <c r="Q28" s="18"/>
      <c r="R28" s="17" t="str">
        <f aca="false">IF(OR(B28="",Q28=""),"",(Q28-B28)*24)</f>
        <v/>
      </c>
      <c r="S28" s="11" t="str">
        <f aca="false">IF(OR(N28="",Q28=""),"",IF(Q28&lt;=N28,"Sim","Não"))</f>
        <v/>
      </c>
      <c r="T28" s="19"/>
      <c r="U28" s="12"/>
      <c r="V28" s="12"/>
    </row>
    <row r="29" customFormat="false" ht="15" hidden="false" customHeight="false" outlineLevel="0" collapsed="false">
      <c r="A29" s="12"/>
      <c r="B29" s="18"/>
      <c r="C29" s="12"/>
      <c r="D29" s="11" t="str">
        <f aca="false">IF(C29="","",IFERROR(INDEX(Unidades!$B$2:$B$218,MATCH(C29,Unidades!$A$2:$A$218,0)),"Código não encontrado"))</f>
        <v/>
      </c>
      <c r="E29" s="11" t="str">
        <f aca="false">IF(C29="","",IFERROR(INDEX(Unidades!$C$2:$C$218,MATCH(C29,Unidades!$A$2:$A$218,0)),""))</f>
        <v/>
      </c>
      <c r="F29" s="12"/>
      <c r="G29" s="12"/>
      <c r="H29" s="12"/>
      <c r="I29" s="12"/>
      <c r="J29" s="12"/>
      <c r="K29" s="19"/>
      <c r="L29" s="12"/>
      <c r="M29" s="11" t="str">
        <f aca="false">IF(L29="","",IFERROR(INDEX(Prioridade_SLA!$B$2:$B$5,MATCH(L29,Prioridade_SLA!$A$2:$A$5,0)),""))</f>
        <v/>
      </c>
      <c r="N29" s="16" t="str">
        <f aca="false">IF(OR(B29="",M29=""),"",B29+M29/24)</f>
        <v/>
      </c>
      <c r="O29" s="12"/>
      <c r="P29" s="12"/>
      <c r="Q29" s="18"/>
      <c r="R29" s="17" t="str">
        <f aca="false">IF(OR(B29="",Q29=""),"",(Q29-B29)*24)</f>
        <v/>
      </c>
      <c r="S29" s="11" t="str">
        <f aca="false">IF(OR(N29="",Q29=""),"",IF(Q29&lt;=N29,"Sim","Não"))</f>
        <v/>
      </c>
      <c r="T29" s="19"/>
      <c r="U29" s="12"/>
      <c r="V29" s="12"/>
    </row>
    <row r="30" customFormat="false" ht="15" hidden="false" customHeight="false" outlineLevel="0" collapsed="false">
      <c r="A30" s="12"/>
      <c r="B30" s="18"/>
      <c r="C30" s="12"/>
      <c r="D30" s="11" t="str">
        <f aca="false">IF(C30="","",IFERROR(INDEX(Unidades!$B$2:$B$218,MATCH(C30,Unidades!$A$2:$A$218,0)),"Código não encontrado"))</f>
        <v/>
      </c>
      <c r="E30" s="11" t="str">
        <f aca="false">IF(C30="","",IFERROR(INDEX(Unidades!$C$2:$C$218,MATCH(C30,Unidades!$A$2:$A$218,0)),""))</f>
        <v/>
      </c>
      <c r="F30" s="12"/>
      <c r="G30" s="12"/>
      <c r="H30" s="12"/>
      <c r="I30" s="12"/>
      <c r="J30" s="12"/>
      <c r="K30" s="19"/>
      <c r="L30" s="12"/>
      <c r="M30" s="11" t="str">
        <f aca="false">IF(L30="","",IFERROR(INDEX(Prioridade_SLA!$B$2:$B$5,MATCH(L30,Prioridade_SLA!$A$2:$A$5,0)),""))</f>
        <v/>
      </c>
      <c r="N30" s="16" t="str">
        <f aca="false">IF(OR(B30="",M30=""),"",B30+M30/24)</f>
        <v/>
      </c>
      <c r="O30" s="12"/>
      <c r="P30" s="12"/>
      <c r="Q30" s="18"/>
      <c r="R30" s="17" t="str">
        <f aca="false">IF(OR(B30="",Q30=""),"",(Q30-B30)*24)</f>
        <v/>
      </c>
      <c r="S30" s="11" t="str">
        <f aca="false">IF(OR(N30="",Q30=""),"",IF(Q30&lt;=N30,"Sim","Não"))</f>
        <v/>
      </c>
      <c r="T30" s="19"/>
      <c r="U30" s="12"/>
      <c r="V30" s="12"/>
    </row>
    <row r="31" customFormat="false" ht="15" hidden="false" customHeight="false" outlineLevel="0" collapsed="false">
      <c r="A31" s="12"/>
      <c r="B31" s="18"/>
      <c r="C31" s="12"/>
      <c r="D31" s="11" t="str">
        <f aca="false">IF(C31="","",IFERROR(INDEX(Unidades!$B$2:$B$218,MATCH(C31,Unidades!$A$2:$A$218,0)),"Código não encontrado"))</f>
        <v/>
      </c>
      <c r="E31" s="11" t="str">
        <f aca="false">IF(C31="","",IFERROR(INDEX(Unidades!$C$2:$C$218,MATCH(C31,Unidades!$A$2:$A$218,0)),""))</f>
        <v/>
      </c>
      <c r="F31" s="12"/>
      <c r="G31" s="12"/>
      <c r="H31" s="12"/>
      <c r="I31" s="12"/>
      <c r="J31" s="12"/>
      <c r="K31" s="19"/>
      <c r="L31" s="12"/>
      <c r="M31" s="11" t="str">
        <f aca="false">IF(L31="","",IFERROR(INDEX(Prioridade_SLA!$B$2:$B$5,MATCH(L31,Prioridade_SLA!$A$2:$A$5,0)),""))</f>
        <v/>
      </c>
      <c r="N31" s="16" t="str">
        <f aca="false">IF(OR(B31="",M31=""),"",B31+M31/24)</f>
        <v/>
      </c>
      <c r="O31" s="12"/>
      <c r="P31" s="12"/>
      <c r="Q31" s="18"/>
      <c r="R31" s="17" t="str">
        <f aca="false">IF(OR(B31="",Q31=""),"",(Q31-B31)*24)</f>
        <v/>
      </c>
      <c r="S31" s="11" t="str">
        <f aca="false">IF(OR(N31="",Q31=""),"",IF(Q31&lt;=N31,"Sim","Não"))</f>
        <v/>
      </c>
      <c r="T31" s="19"/>
      <c r="U31" s="12"/>
      <c r="V31" s="12"/>
    </row>
    <row r="32" customFormat="false" ht="15" hidden="false" customHeight="false" outlineLevel="0" collapsed="false">
      <c r="A32" s="12"/>
      <c r="B32" s="18"/>
      <c r="C32" s="12"/>
      <c r="D32" s="11" t="str">
        <f aca="false">IF(C32="","",IFERROR(INDEX(Unidades!$B$2:$B$218,MATCH(C32,Unidades!$A$2:$A$218,0)),"Código não encontrado"))</f>
        <v/>
      </c>
      <c r="E32" s="11" t="str">
        <f aca="false">IF(C32="","",IFERROR(INDEX(Unidades!$C$2:$C$218,MATCH(C32,Unidades!$A$2:$A$218,0)),""))</f>
        <v/>
      </c>
      <c r="F32" s="12"/>
      <c r="G32" s="12"/>
      <c r="H32" s="12"/>
      <c r="I32" s="12"/>
      <c r="J32" s="12"/>
      <c r="K32" s="19"/>
      <c r="L32" s="12"/>
      <c r="M32" s="11" t="str">
        <f aca="false">IF(L32="","",IFERROR(INDEX(Prioridade_SLA!$B$2:$B$5,MATCH(L32,Prioridade_SLA!$A$2:$A$5,0)),""))</f>
        <v/>
      </c>
      <c r="N32" s="16" t="str">
        <f aca="false">IF(OR(B32="",M32=""),"",B32+M32/24)</f>
        <v/>
      </c>
      <c r="O32" s="12"/>
      <c r="P32" s="12"/>
      <c r="Q32" s="18"/>
      <c r="R32" s="17" t="str">
        <f aca="false">IF(OR(B32="",Q32=""),"",(Q32-B32)*24)</f>
        <v/>
      </c>
      <c r="S32" s="11" t="str">
        <f aca="false">IF(OR(N32="",Q32=""),"",IF(Q32&lt;=N32,"Sim","Não"))</f>
        <v/>
      </c>
      <c r="T32" s="19"/>
      <c r="U32" s="12"/>
      <c r="V32" s="12"/>
    </row>
    <row r="33" customFormat="false" ht="15" hidden="false" customHeight="false" outlineLevel="0" collapsed="false">
      <c r="A33" s="12"/>
      <c r="B33" s="18"/>
      <c r="C33" s="12"/>
      <c r="D33" s="11" t="str">
        <f aca="false">IF(C33="","",IFERROR(INDEX(Unidades!$B$2:$B$218,MATCH(C33,Unidades!$A$2:$A$218,0)),"Código não encontrado"))</f>
        <v/>
      </c>
      <c r="E33" s="11" t="str">
        <f aca="false">IF(C33="","",IFERROR(INDEX(Unidades!$C$2:$C$218,MATCH(C33,Unidades!$A$2:$A$218,0)),""))</f>
        <v/>
      </c>
      <c r="F33" s="12"/>
      <c r="G33" s="12"/>
      <c r="H33" s="12"/>
      <c r="I33" s="12"/>
      <c r="J33" s="12"/>
      <c r="K33" s="19"/>
      <c r="L33" s="12"/>
      <c r="M33" s="11" t="str">
        <f aca="false">IF(L33="","",IFERROR(INDEX(Prioridade_SLA!$B$2:$B$5,MATCH(L33,Prioridade_SLA!$A$2:$A$5,0)),""))</f>
        <v/>
      </c>
      <c r="N33" s="16" t="str">
        <f aca="false">IF(OR(B33="",M33=""),"",B33+M33/24)</f>
        <v/>
      </c>
      <c r="O33" s="12"/>
      <c r="P33" s="12"/>
      <c r="Q33" s="18"/>
      <c r="R33" s="17" t="str">
        <f aca="false">IF(OR(B33="",Q33=""),"",(Q33-B33)*24)</f>
        <v/>
      </c>
      <c r="S33" s="11" t="str">
        <f aca="false">IF(OR(N33="",Q33=""),"",IF(Q33&lt;=N33,"Sim","Não"))</f>
        <v/>
      </c>
      <c r="T33" s="19"/>
      <c r="U33" s="12"/>
      <c r="V33" s="12"/>
    </row>
    <row r="34" customFormat="false" ht="15" hidden="false" customHeight="false" outlineLevel="0" collapsed="false">
      <c r="A34" s="12"/>
      <c r="B34" s="18"/>
      <c r="C34" s="12"/>
      <c r="D34" s="11" t="str">
        <f aca="false">IF(C34="","",IFERROR(INDEX(Unidades!$B$2:$B$218,MATCH(C34,Unidades!$A$2:$A$218,0)),"Código não encontrado"))</f>
        <v/>
      </c>
      <c r="E34" s="11" t="str">
        <f aca="false">IF(C34="","",IFERROR(INDEX(Unidades!$C$2:$C$218,MATCH(C34,Unidades!$A$2:$A$218,0)),""))</f>
        <v/>
      </c>
      <c r="F34" s="12"/>
      <c r="G34" s="12"/>
      <c r="H34" s="12"/>
      <c r="I34" s="12"/>
      <c r="J34" s="12"/>
      <c r="K34" s="19"/>
      <c r="L34" s="12"/>
      <c r="M34" s="11" t="str">
        <f aca="false">IF(L34="","",IFERROR(INDEX(Prioridade_SLA!$B$2:$B$5,MATCH(L34,Prioridade_SLA!$A$2:$A$5,0)),""))</f>
        <v/>
      </c>
      <c r="N34" s="16" t="str">
        <f aca="false">IF(OR(B34="",M34=""),"",B34+M34/24)</f>
        <v/>
      </c>
      <c r="O34" s="12"/>
      <c r="P34" s="12"/>
      <c r="Q34" s="18"/>
      <c r="R34" s="17" t="str">
        <f aca="false">IF(OR(B34="",Q34=""),"",(Q34-B34)*24)</f>
        <v/>
      </c>
      <c r="S34" s="11" t="str">
        <f aca="false">IF(OR(N34="",Q34=""),"",IF(Q34&lt;=N34,"Sim","Não"))</f>
        <v/>
      </c>
      <c r="T34" s="19"/>
      <c r="U34" s="12"/>
      <c r="V34" s="12"/>
    </row>
    <row r="35" customFormat="false" ht="15" hidden="false" customHeight="false" outlineLevel="0" collapsed="false">
      <c r="A35" s="12"/>
      <c r="B35" s="18"/>
      <c r="C35" s="12"/>
      <c r="D35" s="11" t="str">
        <f aca="false">IF(C35="","",IFERROR(INDEX(Unidades!$B$2:$B$218,MATCH(C35,Unidades!$A$2:$A$218,0)),"Código não encontrado"))</f>
        <v/>
      </c>
      <c r="E35" s="11" t="str">
        <f aca="false">IF(C35="","",IFERROR(INDEX(Unidades!$C$2:$C$218,MATCH(C35,Unidades!$A$2:$A$218,0)),""))</f>
        <v/>
      </c>
      <c r="F35" s="12"/>
      <c r="G35" s="12"/>
      <c r="H35" s="12"/>
      <c r="I35" s="12"/>
      <c r="J35" s="12"/>
      <c r="K35" s="19"/>
      <c r="L35" s="12"/>
      <c r="M35" s="11" t="str">
        <f aca="false">IF(L35="","",IFERROR(INDEX(Prioridade_SLA!$B$2:$B$5,MATCH(L35,Prioridade_SLA!$A$2:$A$5,0)),""))</f>
        <v/>
      </c>
      <c r="N35" s="16" t="str">
        <f aca="false">IF(OR(B35="",M35=""),"",B35+M35/24)</f>
        <v/>
      </c>
      <c r="O35" s="12"/>
      <c r="P35" s="12"/>
      <c r="Q35" s="18"/>
      <c r="R35" s="17" t="str">
        <f aca="false">IF(OR(B35="",Q35=""),"",(Q35-B35)*24)</f>
        <v/>
      </c>
      <c r="S35" s="11" t="str">
        <f aca="false">IF(OR(N35="",Q35=""),"",IF(Q35&lt;=N35,"Sim","Não"))</f>
        <v/>
      </c>
      <c r="T35" s="19"/>
      <c r="U35" s="12"/>
      <c r="V35" s="12"/>
    </row>
    <row r="36" customFormat="false" ht="15" hidden="false" customHeight="false" outlineLevel="0" collapsed="false">
      <c r="A36" s="12"/>
      <c r="B36" s="18"/>
      <c r="C36" s="12"/>
      <c r="D36" s="11" t="str">
        <f aca="false">IF(C36="","",IFERROR(INDEX(Unidades!$B$2:$B$218,MATCH(C36,Unidades!$A$2:$A$218,0)),"Código não encontrado"))</f>
        <v/>
      </c>
      <c r="E36" s="11" t="str">
        <f aca="false">IF(C36="","",IFERROR(INDEX(Unidades!$C$2:$C$218,MATCH(C36,Unidades!$A$2:$A$218,0)),""))</f>
        <v/>
      </c>
      <c r="F36" s="12"/>
      <c r="G36" s="12"/>
      <c r="H36" s="12"/>
      <c r="I36" s="12"/>
      <c r="J36" s="12"/>
      <c r="K36" s="19"/>
      <c r="L36" s="12"/>
      <c r="M36" s="11" t="str">
        <f aca="false">IF(L36="","",IFERROR(INDEX(Prioridade_SLA!$B$2:$B$5,MATCH(L36,Prioridade_SLA!$A$2:$A$5,0)),""))</f>
        <v/>
      </c>
      <c r="N36" s="16" t="str">
        <f aca="false">IF(OR(B36="",M36=""),"",B36+M36/24)</f>
        <v/>
      </c>
      <c r="O36" s="12"/>
      <c r="P36" s="12"/>
      <c r="Q36" s="18"/>
      <c r="R36" s="17" t="str">
        <f aca="false">IF(OR(B36="",Q36=""),"",(Q36-B36)*24)</f>
        <v/>
      </c>
      <c r="S36" s="11" t="str">
        <f aca="false">IF(OR(N36="",Q36=""),"",IF(Q36&lt;=N36,"Sim","Não"))</f>
        <v/>
      </c>
      <c r="T36" s="19"/>
      <c r="U36" s="12"/>
      <c r="V36" s="12"/>
    </row>
    <row r="37" customFormat="false" ht="15" hidden="false" customHeight="false" outlineLevel="0" collapsed="false">
      <c r="A37" s="12"/>
      <c r="B37" s="18"/>
      <c r="C37" s="12"/>
      <c r="D37" s="11" t="str">
        <f aca="false">IF(C37="","",IFERROR(INDEX(Unidades!$B$2:$B$218,MATCH(C37,Unidades!$A$2:$A$218,0)),"Código não encontrado"))</f>
        <v/>
      </c>
      <c r="E37" s="11" t="str">
        <f aca="false">IF(C37="","",IFERROR(INDEX(Unidades!$C$2:$C$218,MATCH(C37,Unidades!$A$2:$A$218,0)),""))</f>
        <v/>
      </c>
      <c r="F37" s="12"/>
      <c r="G37" s="12"/>
      <c r="H37" s="12"/>
      <c r="I37" s="12"/>
      <c r="J37" s="12"/>
      <c r="K37" s="19"/>
      <c r="L37" s="12"/>
      <c r="M37" s="11" t="str">
        <f aca="false">IF(L37="","",IFERROR(INDEX(Prioridade_SLA!$B$2:$B$5,MATCH(L37,Prioridade_SLA!$A$2:$A$5,0)),""))</f>
        <v/>
      </c>
      <c r="N37" s="16" t="str">
        <f aca="false">IF(OR(B37="",M37=""),"",B37+M37/24)</f>
        <v/>
      </c>
      <c r="O37" s="12"/>
      <c r="P37" s="12"/>
      <c r="Q37" s="18"/>
      <c r="R37" s="17" t="str">
        <f aca="false">IF(OR(B37="",Q37=""),"",(Q37-B37)*24)</f>
        <v/>
      </c>
      <c r="S37" s="11" t="str">
        <f aca="false">IF(OR(N37="",Q37=""),"",IF(Q37&lt;=N37,"Sim","Não"))</f>
        <v/>
      </c>
      <c r="T37" s="19"/>
      <c r="U37" s="12"/>
      <c r="V37" s="12"/>
    </row>
    <row r="38" customFormat="false" ht="15" hidden="false" customHeight="false" outlineLevel="0" collapsed="false">
      <c r="A38" s="12"/>
      <c r="B38" s="18"/>
      <c r="C38" s="12"/>
      <c r="D38" s="11" t="str">
        <f aca="false">IF(C38="","",IFERROR(INDEX(Unidades!$B$2:$B$218,MATCH(C38,Unidades!$A$2:$A$218,0)),"Código não encontrado"))</f>
        <v/>
      </c>
      <c r="E38" s="11" t="str">
        <f aca="false">IF(C38="","",IFERROR(INDEX(Unidades!$C$2:$C$218,MATCH(C38,Unidades!$A$2:$A$218,0)),""))</f>
        <v/>
      </c>
      <c r="F38" s="12"/>
      <c r="G38" s="12"/>
      <c r="H38" s="12"/>
      <c r="I38" s="12"/>
      <c r="J38" s="12"/>
      <c r="K38" s="19"/>
      <c r="L38" s="12"/>
      <c r="M38" s="11" t="str">
        <f aca="false">IF(L38="","",IFERROR(INDEX(Prioridade_SLA!$B$2:$B$5,MATCH(L38,Prioridade_SLA!$A$2:$A$5,0)),""))</f>
        <v/>
      </c>
      <c r="N38" s="16" t="str">
        <f aca="false">IF(OR(B38="",M38=""),"",B38+M38/24)</f>
        <v/>
      </c>
      <c r="O38" s="12"/>
      <c r="P38" s="12"/>
      <c r="Q38" s="18"/>
      <c r="R38" s="17" t="str">
        <f aca="false">IF(OR(B38="",Q38=""),"",(Q38-B38)*24)</f>
        <v/>
      </c>
      <c r="S38" s="11" t="str">
        <f aca="false">IF(OR(N38="",Q38=""),"",IF(Q38&lt;=N38,"Sim","Não"))</f>
        <v/>
      </c>
      <c r="T38" s="19"/>
      <c r="U38" s="12"/>
      <c r="V38" s="12"/>
    </row>
    <row r="39" customFormat="false" ht="15" hidden="false" customHeight="false" outlineLevel="0" collapsed="false">
      <c r="A39" s="12"/>
      <c r="B39" s="18"/>
      <c r="C39" s="12"/>
      <c r="D39" s="11" t="str">
        <f aca="false">IF(C39="","",IFERROR(INDEX(Unidades!$B$2:$B$218,MATCH(C39,Unidades!$A$2:$A$218,0)),"Código não encontrado"))</f>
        <v/>
      </c>
      <c r="E39" s="11" t="str">
        <f aca="false">IF(C39="","",IFERROR(INDEX(Unidades!$C$2:$C$218,MATCH(C39,Unidades!$A$2:$A$218,0)),""))</f>
        <v/>
      </c>
      <c r="F39" s="12"/>
      <c r="G39" s="12"/>
      <c r="H39" s="12"/>
      <c r="I39" s="12"/>
      <c r="J39" s="12"/>
      <c r="K39" s="19"/>
      <c r="L39" s="12"/>
      <c r="M39" s="11" t="str">
        <f aca="false">IF(L39="","",IFERROR(INDEX(Prioridade_SLA!$B$2:$B$5,MATCH(L39,Prioridade_SLA!$A$2:$A$5,0)),""))</f>
        <v/>
      </c>
      <c r="N39" s="16" t="str">
        <f aca="false">IF(OR(B39="",M39=""),"",B39+M39/24)</f>
        <v/>
      </c>
      <c r="O39" s="12"/>
      <c r="P39" s="12"/>
      <c r="Q39" s="18"/>
      <c r="R39" s="17" t="str">
        <f aca="false">IF(OR(B39="",Q39=""),"",(Q39-B39)*24)</f>
        <v/>
      </c>
      <c r="S39" s="11" t="str">
        <f aca="false">IF(OR(N39="",Q39=""),"",IF(Q39&lt;=N39,"Sim","Não"))</f>
        <v/>
      </c>
      <c r="T39" s="19"/>
      <c r="U39" s="12"/>
      <c r="V39" s="12"/>
    </row>
    <row r="40" customFormat="false" ht="15" hidden="false" customHeight="false" outlineLevel="0" collapsed="false">
      <c r="A40" s="12"/>
      <c r="B40" s="18"/>
      <c r="C40" s="12"/>
      <c r="D40" s="11" t="str">
        <f aca="false">IF(C40="","",IFERROR(INDEX(Unidades!$B$2:$B$218,MATCH(C40,Unidades!$A$2:$A$218,0)),"Código não encontrado"))</f>
        <v/>
      </c>
      <c r="E40" s="11" t="str">
        <f aca="false">IF(C40="","",IFERROR(INDEX(Unidades!$C$2:$C$218,MATCH(C40,Unidades!$A$2:$A$218,0)),""))</f>
        <v/>
      </c>
      <c r="F40" s="12"/>
      <c r="G40" s="12"/>
      <c r="H40" s="12"/>
      <c r="I40" s="12"/>
      <c r="J40" s="12"/>
      <c r="K40" s="19"/>
      <c r="L40" s="12"/>
      <c r="M40" s="11" t="str">
        <f aca="false">IF(L40="","",IFERROR(INDEX(Prioridade_SLA!$B$2:$B$5,MATCH(L40,Prioridade_SLA!$A$2:$A$5,0)),""))</f>
        <v/>
      </c>
      <c r="N40" s="16" t="str">
        <f aca="false">IF(OR(B40="",M40=""),"",B40+M40/24)</f>
        <v/>
      </c>
      <c r="O40" s="12"/>
      <c r="P40" s="12"/>
      <c r="Q40" s="18"/>
      <c r="R40" s="17" t="str">
        <f aca="false">IF(OR(B40="",Q40=""),"",(Q40-B40)*24)</f>
        <v/>
      </c>
      <c r="S40" s="11" t="str">
        <f aca="false">IF(OR(N40="",Q40=""),"",IF(Q40&lt;=N40,"Sim","Não"))</f>
        <v/>
      </c>
      <c r="T40" s="19"/>
      <c r="U40" s="12"/>
      <c r="V40" s="12"/>
    </row>
    <row r="41" customFormat="false" ht="15" hidden="false" customHeight="false" outlineLevel="0" collapsed="false">
      <c r="A41" s="12"/>
      <c r="B41" s="18"/>
      <c r="C41" s="12"/>
      <c r="D41" s="11" t="str">
        <f aca="false">IF(C41="","",IFERROR(INDEX(Unidades!$B$2:$B$218,MATCH(C41,Unidades!$A$2:$A$218,0)),"Código não encontrado"))</f>
        <v/>
      </c>
      <c r="E41" s="11" t="str">
        <f aca="false">IF(C41="","",IFERROR(INDEX(Unidades!$C$2:$C$218,MATCH(C41,Unidades!$A$2:$A$218,0)),""))</f>
        <v/>
      </c>
      <c r="F41" s="12"/>
      <c r="G41" s="12"/>
      <c r="H41" s="12"/>
      <c r="I41" s="12"/>
      <c r="J41" s="12"/>
      <c r="K41" s="19"/>
      <c r="L41" s="12"/>
      <c r="M41" s="11" t="str">
        <f aca="false">IF(L41="","",IFERROR(INDEX(Prioridade_SLA!$B$2:$B$5,MATCH(L41,Prioridade_SLA!$A$2:$A$5,0)),""))</f>
        <v/>
      </c>
      <c r="N41" s="16" t="str">
        <f aca="false">IF(OR(B41="",M41=""),"",B41+M41/24)</f>
        <v/>
      </c>
      <c r="O41" s="12"/>
      <c r="P41" s="12"/>
      <c r="Q41" s="18"/>
      <c r="R41" s="17" t="str">
        <f aca="false">IF(OR(B41="",Q41=""),"",(Q41-B41)*24)</f>
        <v/>
      </c>
      <c r="S41" s="11" t="str">
        <f aca="false">IF(OR(N41="",Q41=""),"",IF(Q41&lt;=N41,"Sim","Não"))</f>
        <v/>
      </c>
      <c r="T41" s="19"/>
      <c r="U41" s="12"/>
      <c r="V41" s="12"/>
    </row>
    <row r="42" customFormat="false" ht="15" hidden="false" customHeight="false" outlineLevel="0" collapsed="false">
      <c r="A42" s="12"/>
      <c r="B42" s="18"/>
      <c r="C42" s="12"/>
      <c r="D42" s="11" t="str">
        <f aca="false">IF(C42="","",IFERROR(INDEX(Unidades!$B$2:$B$218,MATCH(C42,Unidades!$A$2:$A$218,0)),"Código não encontrado"))</f>
        <v/>
      </c>
      <c r="E42" s="11" t="str">
        <f aca="false">IF(C42="","",IFERROR(INDEX(Unidades!$C$2:$C$218,MATCH(C42,Unidades!$A$2:$A$218,0)),""))</f>
        <v/>
      </c>
      <c r="F42" s="12"/>
      <c r="G42" s="12"/>
      <c r="H42" s="12"/>
      <c r="I42" s="12"/>
      <c r="J42" s="12"/>
      <c r="K42" s="19"/>
      <c r="L42" s="12"/>
      <c r="M42" s="11" t="str">
        <f aca="false">IF(L42="","",IFERROR(INDEX(Prioridade_SLA!$B$2:$B$5,MATCH(L42,Prioridade_SLA!$A$2:$A$5,0)),""))</f>
        <v/>
      </c>
      <c r="N42" s="16" t="str">
        <f aca="false">IF(OR(B42="",M42=""),"",B42+M42/24)</f>
        <v/>
      </c>
      <c r="O42" s="12"/>
      <c r="P42" s="12"/>
      <c r="Q42" s="18"/>
      <c r="R42" s="17" t="str">
        <f aca="false">IF(OR(B42="",Q42=""),"",(Q42-B42)*24)</f>
        <v/>
      </c>
      <c r="S42" s="11" t="str">
        <f aca="false">IF(OR(N42="",Q42=""),"",IF(Q42&lt;=N42,"Sim","Não"))</f>
        <v/>
      </c>
      <c r="T42" s="19"/>
      <c r="U42" s="12"/>
      <c r="V42" s="12"/>
    </row>
    <row r="43" customFormat="false" ht="15" hidden="false" customHeight="false" outlineLevel="0" collapsed="false">
      <c r="A43" s="12"/>
      <c r="B43" s="18"/>
      <c r="C43" s="12"/>
      <c r="D43" s="11" t="str">
        <f aca="false">IF(C43="","",IFERROR(INDEX(Unidades!$B$2:$B$218,MATCH(C43,Unidades!$A$2:$A$218,0)),"Código não encontrado"))</f>
        <v/>
      </c>
      <c r="E43" s="11" t="str">
        <f aca="false">IF(C43="","",IFERROR(INDEX(Unidades!$C$2:$C$218,MATCH(C43,Unidades!$A$2:$A$218,0)),""))</f>
        <v/>
      </c>
      <c r="F43" s="12"/>
      <c r="G43" s="12"/>
      <c r="H43" s="12"/>
      <c r="I43" s="12"/>
      <c r="J43" s="12"/>
      <c r="K43" s="19"/>
      <c r="L43" s="12"/>
      <c r="M43" s="11" t="str">
        <f aca="false">IF(L43="","",IFERROR(INDEX(Prioridade_SLA!$B$2:$B$5,MATCH(L43,Prioridade_SLA!$A$2:$A$5,0)),""))</f>
        <v/>
      </c>
      <c r="N43" s="16" t="str">
        <f aca="false">IF(OR(B43="",M43=""),"",B43+M43/24)</f>
        <v/>
      </c>
      <c r="O43" s="12"/>
      <c r="P43" s="12"/>
      <c r="Q43" s="18"/>
      <c r="R43" s="17" t="str">
        <f aca="false">IF(OR(B43="",Q43=""),"",(Q43-B43)*24)</f>
        <v/>
      </c>
      <c r="S43" s="11" t="str">
        <f aca="false">IF(OR(N43="",Q43=""),"",IF(Q43&lt;=N43,"Sim","Não"))</f>
        <v/>
      </c>
      <c r="T43" s="19"/>
      <c r="U43" s="12"/>
      <c r="V43" s="12"/>
    </row>
    <row r="44" customFormat="false" ht="15" hidden="false" customHeight="false" outlineLevel="0" collapsed="false">
      <c r="A44" s="12"/>
      <c r="B44" s="18"/>
      <c r="C44" s="12"/>
      <c r="D44" s="11" t="str">
        <f aca="false">IF(C44="","",IFERROR(INDEX(Unidades!$B$2:$B$218,MATCH(C44,Unidades!$A$2:$A$218,0)),"Código não encontrado"))</f>
        <v/>
      </c>
      <c r="E44" s="11" t="str">
        <f aca="false">IF(C44="","",IFERROR(INDEX(Unidades!$C$2:$C$218,MATCH(C44,Unidades!$A$2:$A$218,0)),""))</f>
        <v/>
      </c>
      <c r="F44" s="12"/>
      <c r="G44" s="12"/>
      <c r="H44" s="12"/>
      <c r="I44" s="12"/>
      <c r="J44" s="12"/>
      <c r="K44" s="19"/>
      <c r="L44" s="12"/>
      <c r="M44" s="11" t="str">
        <f aca="false">IF(L44="","",IFERROR(INDEX(Prioridade_SLA!$B$2:$B$5,MATCH(L44,Prioridade_SLA!$A$2:$A$5,0)),""))</f>
        <v/>
      </c>
      <c r="N44" s="16" t="str">
        <f aca="false">IF(OR(B44="",M44=""),"",B44+M44/24)</f>
        <v/>
      </c>
      <c r="O44" s="12"/>
      <c r="P44" s="12"/>
      <c r="Q44" s="18"/>
      <c r="R44" s="17" t="str">
        <f aca="false">IF(OR(B44="",Q44=""),"",(Q44-B44)*24)</f>
        <v/>
      </c>
      <c r="S44" s="11" t="str">
        <f aca="false">IF(OR(N44="",Q44=""),"",IF(Q44&lt;=N44,"Sim","Não"))</f>
        <v/>
      </c>
      <c r="T44" s="19"/>
      <c r="U44" s="12"/>
      <c r="V44" s="12"/>
    </row>
    <row r="45" customFormat="false" ht="15" hidden="false" customHeight="false" outlineLevel="0" collapsed="false">
      <c r="A45" s="12"/>
      <c r="B45" s="18"/>
      <c r="C45" s="12"/>
      <c r="D45" s="11" t="str">
        <f aca="false">IF(C45="","",IFERROR(INDEX(Unidades!$B$2:$B$218,MATCH(C45,Unidades!$A$2:$A$218,0)),"Código não encontrado"))</f>
        <v/>
      </c>
      <c r="E45" s="11" t="str">
        <f aca="false">IF(C45="","",IFERROR(INDEX(Unidades!$C$2:$C$218,MATCH(C45,Unidades!$A$2:$A$218,0)),""))</f>
        <v/>
      </c>
      <c r="F45" s="12"/>
      <c r="G45" s="12"/>
      <c r="H45" s="12"/>
      <c r="I45" s="12"/>
      <c r="J45" s="12"/>
      <c r="K45" s="19"/>
      <c r="L45" s="12"/>
      <c r="M45" s="11" t="str">
        <f aca="false">IF(L45="","",IFERROR(INDEX(Prioridade_SLA!$B$2:$B$5,MATCH(L45,Prioridade_SLA!$A$2:$A$5,0)),""))</f>
        <v/>
      </c>
      <c r="N45" s="16" t="str">
        <f aca="false">IF(OR(B45="",M45=""),"",B45+M45/24)</f>
        <v/>
      </c>
      <c r="O45" s="12"/>
      <c r="P45" s="12"/>
      <c r="Q45" s="18"/>
      <c r="R45" s="17" t="str">
        <f aca="false">IF(OR(B45="",Q45=""),"",(Q45-B45)*24)</f>
        <v/>
      </c>
      <c r="S45" s="11" t="str">
        <f aca="false">IF(OR(N45="",Q45=""),"",IF(Q45&lt;=N45,"Sim","Não"))</f>
        <v/>
      </c>
      <c r="T45" s="19"/>
      <c r="U45" s="12"/>
      <c r="V45" s="12"/>
    </row>
    <row r="46" customFormat="false" ht="15" hidden="false" customHeight="false" outlineLevel="0" collapsed="false">
      <c r="A46" s="12"/>
      <c r="B46" s="18"/>
      <c r="C46" s="12"/>
      <c r="D46" s="11" t="str">
        <f aca="false">IF(C46="","",IFERROR(INDEX(Unidades!$B$2:$B$218,MATCH(C46,Unidades!$A$2:$A$218,0)),"Código não encontrado"))</f>
        <v/>
      </c>
      <c r="E46" s="11" t="str">
        <f aca="false">IF(C46="","",IFERROR(INDEX(Unidades!$C$2:$C$218,MATCH(C46,Unidades!$A$2:$A$218,0)),""))</f>
        <v/>
      </c>
      <c r="F46" s="12"/>
      <c r="G46" s="12"/>
      <c r="H46" s="12"/>
      <c r="I46" s="12"/>
      <c r="J46" s="12"/>
      <c r="K46" s="19"/>
      <c r="L46" s="12"/>
      <c r="M46" s="11" t="str">
        <f aca="false">IF(L46="","",IFERROR(INDEX(Prioridade_SLA!$B$2:$B$5,MATCH(L46,Prioridade_SLA!$A$2:$A$5,0)),""))</f>
        <v/>
      </c>
      <c r="N46" s="16" t="str">
        <f aca="false">IF(OR(B46="",M46=""),"",B46+M46/24)</f>
        <v/>
      </c>
      <c r="O46" s="12"/>
      <c r="P46" s="12"/>
      <c r="Q46" s="18"/>
      <c r="R46" s="17" t="str">
        <f aca="false">IF(OR(B46="",Q46=""),"",(Q46-B46)*24)</f>
        <v/>
      </c>
      <c r="S46" s="11" t="str">
        <f aca="false">IF(OR(N46="",Q46=""),"",IF(Q46&lt;=N46,"Sim","Não"))</f>
        <v/>
      </c>
      <c r="T46" s="19"/>
      <c r="U46" s="12"/>
      <c r="V46" s="12"/>
    </row>
    <row r="47" customFormat="false" ht="15" hidden="false" customHeight="false" outlineLevel="0" collapsed="false">
      <c r="A47" s="12"/>
      <c r="B47" s="18"/>
      <c r="C47" s="12"/>
      <c r="D47" s="11" t="str">
        <f aca="false">IF(C47="","",IFERROR(INDEX(Unidades!$B$2:$B$218,MATCH(C47,Unidades!$A$2:$A$218,0)),"Código não encontrado"))</f>
        <v/>
      </c>
      <c r="E47" s="11" t="str">
        <f aca="false">IF(C47="","",IFERROR(INDEX(Unidades!$C$2:$C$218,MATCH(C47,Unidades!$A$2:$A$218,0)),""))</f>
        <v/>
      </c>
      <c r="F47" s="12"/>
      <c r="G47" s="12"/>
      <c r="H47" s="12"/>
      <c r="I47" s="12"/>
      <c r="J47" s="12"/>
      <c r="K47" s="19"/>
      <c r="L47" s="12"/>
      <c r="M47" s="11" t="str">
        <f aca="false">IF(L47="","",IFERROR(INDEX(Prioridade_SLA!$B$2:$B$5,MATCH(L47,Prioridade_SLA!$A$2:$A$5,0)),""))</f>
        <v/>
      </c>
      <c r="N47" s="16" t="str">
        <f aca="false">IF(OR(B47="",M47=""),"",B47+M47/24)</f>
        <v/>
      </c>
      <c r="O47" s="12"/>
      <c r="P47" s="12"/>
      <c r="Q47" s="18"/>
      <c r="R47" s="17" t="str">
        <f aca="false">IF(OR(B47="",Q47=""),"",(Q47-B47)*24)</f>
        <v/>
      </c>
      <c r="S47" s="11" t="str">
        <f aca="false">IF(OR(N47="",Q47=""),"",IF(Q47&lt;=N47,"Sim","Não"))</f>
        <v/>
      </c>
      <c r="T47" s="19"/>
      <c r="U47" s="12"/>
      <c r="V47" s="12"/>
    </row>
    <row r="48" customFormat="false" ht="15" hidden="false" customHeight="false" outlineLevel="0" collapsed="false">
      <c r="A48" s="12"/>
      <c r="B48" s="18"/>
      <c r="C48" s="12"/>
      <c r="D48" s="11" t="str">
        <f aca="false">IF(C48="","",IFERROR(INDEX(Unidades!$B$2:$B$218,MATCH(C48,Unidades!$A$2:$A$218,0)),"Código não encontrado"))</f>
        <v/>
      </c>
      <c r="E48" s="11" t="str">
        <f aca="false">IF(C48="","",IFERROR(INDEX(Unidades!$C$2:$C$218,MATCH(C48,Unidades!$A$2:$A$218,0)),""))</f>
        <v/>
      </c>
      <c r="F48" s="12"/>
      <c r="G48" s="12"/>
      <c r="H48" s="12"/>
      <c r="I48" s="12"/>
      <c r="J48" s="12"/>
      <c r="K48" s="19"/>
      <c r="L48" s="12"/>
      <c r="M48" s="11" t="str">
        <f aca="false">IF(L48="","",IFERROR(INDEX(Prioridade_SLA!$B$2:$B$5,MATCH(L48,Prioridade_SLA!$A$2:$A$5,0)),""))</f>
        <v/>
      </c>
      <c r="N48" s="16" t="str">
        <f aca="false">IF(OR(B48="",M48=""),"",B48+M48/24)</f>
        <v/>
      </c>
      <c r="O48" s="12"/>
      <c r="P48" s="12"/>
      <c r="Q48" s="18"/>
      <c r="R48" s="17" t="str">
        <f aca="false">IF(OR(B48="",Q48=""),"",(Q48-B48)*24)</f>
        <v/>
      </c>
      <c r="S48" s="11" t="str">
        <f aca="false">IF(OR(N48="",Q48=""),"",IF(Q48&lt;=N48,"Sim","Não"))</f>
        <v/>
      </c>
      <c r="T48" s="19"/>
      <c r="U48" s="12"/>
      <c r="V48" s="12"/>
    </row>
    <row r="49" customFormat="false" ht="15" hidden="false" customHeight="false" outlineLevel="0" collapsed="false">
      <c r="A49" s="12"/>
      <c r="B49" s="18"/>
      <c r="C49" s="12"/>
      <c r="D49" s="11" t="str">
        <f aca="false">IF(C49="","",IFERROR(INDEX(Unidades!$B$2:$B$218,MATCH(C49,Unidades!$A$2:$A$218,0)),"Código não encontrado"))</f>
        <v/>
      </c>
      <c r="E49" s="11" t="str">
        <f aca="false">IF(C49="","",IFERROR(INDEX(Unidades!$C$2:$C$218,MATCH(C49,Unidades!$A$2:$A$218,0)),""))</f>
        <v/>
      </c>
      <c r="F49" s="12"/>
      <c r="G49" s="12"/>
      <c r="H49" s="12"/>
      <c r="I49" s="12"/>
      <c r="J49" s="12"/>
      <c r="K49" s="19"/>
      <c r="L49" s="12"/>
      <c r="M49" s="11" t="str">
        <f aca="false">IF(L49="","",IFERROR(INDEX(Prioridade_SLA!$B$2:$B$5,MATCH(L49,Prioridade_SLA!$A$2:$A$5,0)),""))</f>
        <v/>
      </c>
      <c r="N49" s="16" t="str">
        <f aca="false">IF(OR(B49="",M49=""),"",B49+M49/24)</f>
        <v/>
      </c>
      <c r="O49" s="12"/>
      <c r="P49" s="12"/>
      <c r="Q49" s="18"/>
      <c r="R49" s="17" t="str">
        <f aca="false">IF(OR(B49="",Q49=""),"",(Q49-B49)*24)</f>
        <v/>
      </c>
      <c r="S49" s="11" t="str">
        <f aca="false">IF(OR(N49="",Q49=""),"",IF(Q49&lt;=N49,"Sim","Não"))</f>
        <v/>
      </c>
      <c r="T49" s="19"/>
      <c r="U49" s="12"/>
      <c r="V49" s="12"/>
    </row>
    <row r="50" customFormat="false" ht="15" hidden="false" customHeight="false" outlineLevel="0" collapsed="false">
      <c r="A50" s="12"/>
      <c r="B50" s="18"/>
      <c r="C50" s="12"/>
      <c r="D50" s="11" t="str">
        <f aca="false">IF(C50="","",IFERROR(INDEX(Unidades!$B$2:$B$218,MATCH(C50,Unidades!$A$2:$A$218,0)),"Código não encontrado"))</f>
        <v/>
      </c>
      <c r="E50" s="11" t="str">
        <f aca="false">IF(C50="","",IFERROR(INDEX(Unidades!$C$2:$C$218,MATCH(C50,Unidades!$A$2:$A$218,0)),""))</f>
        <v/>
      </c>
      <c r="F50" s="12"/>
      <c r="G50" s="12"/>
      <c r="H50" s="12"/>
      <c r="I50" s="12"/>
      <c r="J50" s="12"/>
      <c r="K50" s="19"/>
      <c r="L50" s="12"/>
      <c r="M50" s="11" t="str">
        <f aca="false">IF(L50="","",IFERROR(INDEX(Prioridade_SLA!$B$2:$B$5,MATCH(L50,Prioridade_SLA!$A$2:$A$5,0)),""))</f>
        <v/>
      </c>
      <c r="N50" s="16" t="str">
        <f aca="false">IF(OR(B50="",M50=""),"",B50+M50/24)</f>
        <v/>
      </c>
      <c r="O50" s="12"/>
      <c r="P50" s="12"/>
      <c r="Q50" s="18"/>
      <c r="R50" s="17" t="str">
        <f aca="false">IF(OR(B50="",Q50=""),"",(Q50-B50)*24)</f>
        <v/>
      </c>
      <c r="S50" s="11" t="str">
        <f aca="false">IF(OR(N50="",Q50=""),"",IF(Q50&lt;=N50,"Sim","Não"))</f>
        <v/>
      </c>
      <c r="T50" s="19"/>
      <c r="U50" s="12"/>
      <c r="V50" s="12"/>
    </row>
    <row r="51" customFormat="false" ht="15" hidden="false" customHeight="false" outlineLevel="0" collapsed="false">
      <c r="A51" s="12"/>
      <c r="B51" s="18"/>
      <c r="C51" s="12"/>
      <c r="D51" s="11" t="str">
        <f aca="false">IF(C51="","",IFERROR(INDEX(Unidades!$B$2:$B$218,MATCH(C51,Unidades!$A$2:$A$218,0)),"Código não encontrado"))</f>
        <v/>
      </c>
      <c r="E51" s="11" t="str">
        <f aca="false">IF(C51="","",IFERROR(INDEX(Unidades!$C$2:$C$218,MATCH(C51,Unidades!$A$2:$A$218,0)),""))</f>
        <v/>
      </c>
      <c r="F51" s="12"/>
      <c r="G51" s="12"/>
      <c r="H51" s="12"/>
      <c r="I51" s="12"/>
      <c r="J51" s="12"/>
      <c r="K51" s="19"/>
      <c r="L51" s="12"/>
      <c r="M51" s="11" t="str">
        <f aca="false">IF(L51="","",IFERROR(INDEX(Prioridade_SLA!$B$2:$B$5,MATCH(L51,Prioridade_SLA!$A$2:$A$5,0)),""))</f>
        <v/>
      </c>
      <c r="N51" s="16" t="str">
        <f aca="false">IF(OR(B51="",M51=""),"",B51+M51/24)</f>
        <v/>
      </c>
      <c r="O51" s="12"/>
      <c r="P51" s="12"/>
      <c r="Q51" s="18"/>
      <c r="R51" s="17" t="str">
        <f aca="false">IF(OR(B51="",Q51=""),"",(Q51-B51)*24)</f>
        <v/>
      </c>
      <c r="S51" s="11" t="str">
        <f aca="false">IF(OR(N51="",Q51=""),"",IF(Q51&lt;=N51,"Sim","Não"))</f>
        <v/>
      </c>
      <c r="T51" s="19"/>
      <c r="U51" s="12"/>
      <c r="V51" s="12"/>
    </row>
    <row r="52" customFormat="false" ht="15" hidden="false" customHeight="false" outlineLevel="0" collapsed="false">
      <c r="A52" s="12"/>
      <c r="B52" s="18"/>
      <c r="C52" s="12"/>
      <c r="D52" s="11" t="str">
        <f aca="false">IF(C52="","",IFERROR(INDEX(Unidades!$B$2:$B$218,MATCH(C52,Unidades!$A$2:$A$218,0)),"Código não encontrado"))</f>
        <v/>
      </c>
      <c r="E52" s="11" t="str">
        <f aca="false">IF(C52="","",IFERROR(INDEX(Unidades!$C$2:$C$218,MATCH(C52,Unidades!$A$2:$A$218,0)),""))</f>
        <v/>
      </c>
      <c r="F52" s="12"/>
      <c r="G52" s="12"/>
      <c r="H52" s="12"/>
      <c r="I52" s="12"/>
      <c r="J52" s="12"/>
      <c r="K52" s="19"/>
      <c r="L52" s="12"/>
      <c r="M52" s="11" t="str">
        <f aca="false">IF(L52="","",IFERROR(INDEX(Prioridade_SLA!$B$2:$B$5,MATCH(L52,Prioridade_SLA!$A$2:$A$5,0)),""))</f>
        <v/>
      </c>
      <c r="N52" s="16" t="str">
        <f aca="false">IF(OR(B52="",M52=""),"",B52+M52/24)</f>
        <v/>
      </c>
      <c r="O52" s="12"/>
      <c r="P52" s="12"/>
      <c r="Q52" s="18"/>
      <c r="R52" s="17" t="str">
        <f aca="false">IF(OR(B52="",Q52=""),"",(Q52-B52)*24)</f>
        <v/>
      </c>
      <c r="S52" s="11" t="str">
        <f aca="false">IF(OR(N52="",Q52=""),"",IF(Q52&lt;=N52,"Sim","Não"))</f>
        <v/>
      </c>
      <c r="T52" s="19"/>
      <c r="U52" s="12"/>
      <c r="V52" s="12"/>
    </row>
    <row r="53" customFormat="false" ht="15" hidden="false" customHeight="false" outlineLevel="0" collapsed="false">
      <c r="A53" s="12"/>
      <c r="B53" s="18"/>
      <c r="C53" s="12"/>
      <c r="D53" s="11" t="str">
        <f aca="false">IF(C53="","",IFERROR(INDEX(Unidades!$B$2:$B$218,MATCH(C53,Unidades!$A$2:$A$218,0)),"Código não encontrado"))</f>
        <v/>
      </c>
      <c r="E53" s="11" t="str">
        <f aca="false">IF(C53="","",IFERROR(INDEX(Unidades!$C$2:$C$218,MATCH(C53,Unidades!$A$2:$A$218,0)),""))</f>
        <v/>
      </c>
      <c r="F53" s="12"/>
      <c r="G53" s="12"/>
      <c r="H53" s="12"/>
      <c r="I53" s="12"/>
      <c r="J53" s="12"/>
      <c r="K53" s="19"/>
      <c r="L53" s="12"/>
      <c r="M53" s="11" t="str">
        <f aca="false">IF(L53="","",IFERROR(INDEX(Prioridade_SLA!$B$2:$B$5,MATCH(L53,Prioridade_SLA!$A$2:$A$5,0)),""))</f>
        <v/>
      </c>
      <c r="N53" s="16" t="str">
        <f aca="false">IF(OR(B53="",M53=""),"",B53+M53/24)</f>
        <v/>
      </c>
      <c r="O53" s="12"/>
      <c r="P53" s="12"/>
      <c r="Q53" s="18"/>
      <c r="R53" s="17" t="str">
        <f aca="false">IF(OR(B53="",Q53=""),"",(Q53-B53)*24)</f>
        <v/>
      </c>
      <c r="S53" s="11" t="str">
        <f aca="false">IF(OR(N53="",Q53=""),"",IF(Q53&lt;=N53,"Sim","Não"))</f>
        <v/>
      </c>
      <c r="T53" s="19"/>
      <c r="U53" s="12"/>
      <c r="V53" s="12"/>
    </row>
    <row r="54" customFormat="false" ht="15" hidden="false" customHeight="false" outlineLevel="0" collapsed="false">
      <c r="A54" s="12"/>
      <c r="B54" s="18"/>
      <c r="C54" s="12"/>
      <c r="D54" s="11" t="str">
        <f aca="false">IF(C54="","",IFERROR(INDEX(Unidades!$B$2:$B$218,MATCH(C54,Unidades!$A$2:$A$218,0)),"Código não encontrado"))</f>
        <v/>
      </c>
      <c r="E54" s="11" t="str">
        <f aca="false">IF(C54="","",IFERROR(INDEX(Unidades!$C$2:$C$218,MATCH(C54,Unidades!$A$2:$A$218,0)),""))</f>
        <v/>
      </c>
      <c r="F54" s="12"/>
      <c r="G54" s="12"/>
      <c r="H54" s="12"/>
      <c r="I54" s="12"/>
      <c r="J54" s="12"/>
      <c r="K54" s="19"/>
      <c r="L54" s="12"/>
      <c r="M54" s="11" t="str">
        <f aca="false">IF(L54="","",IFERROR(INDEX(Prioridade_SLA!$B$2:$B$5,MATCH(L54,Prioridade_SLA!$A$2:$A$5,0)),""))</f>
        <v/>
      </c>
      <c r="N54" s="16" t="str">
        <f aca="false">IF(OR(B54="",M54=""),"",B54+M54/24)</f>
        <v/>
      </c>
      <c r="O54" s="12"/>
      <c r="P54" s="12"/>
      <c r="Q54" s="18"/>
      <c r="R54" s="17" t="str">
        <f aca="false">IF(OR(B54="",Q54=""),"",(Q54-B54)*24)</f>
        <v/>
      </c>
      <c r="S54" s="11" t="str">
        <f aca="false">IF(OR(N54="",Q54=""),"",IF(Q54&lt;=N54,"Sim","Não"))</f>
        <v/>
      </c>
      <c r="T54" s="19"/>
      <c r="U54" s="12"/>
      <c r="V54" s="12"/>
    </row>
    <row r="55" customFormat="false" ht="15" hidden="false" customHeight="false" outlineLevel="0" collapsed="false">
      <c r="A55" s="12"/>
      <c r="B55" s="18"/>
      <c r="C55" s="12"/>
      <c r="D55" s="11" t="str">
        <f aca="false">IF(C55="","",IFERROR(INDEX(Unidades!$B$2:$B$218,MATCH(C55,Unidades!$A$2:$A$218,0)),"Código não encontrado"))</f>
        <v/>
      </c>
      <c r="E55" s="11" t="str">
        <f aca="false">IF(C55="","",IFERROR(INDEX(Unidades!$C$2:$C$218,MATCH(C55,Unidades!$A$2:$A$218,0)),""))</f>
        <v/>
      </c>
      <c r="F55" s="12"/>
      <c r="G55" s="12"/>
      <c r="H55" s="12"/>
      <c r="I55" s="12"/>
      <c r="J55" s="12"/>
      <c r="K55" s="19"/>
      <c r="L55" s="12"/>
      <c r="M55" s="11" t="str">
        <f aca="false">IF(L55="","",IFERROR(INDEX(Prioridade_SLA!$B$2:$B$5,MATCH(L55,Prioridade_SLA!$A$2:$A$5,0)),""))</f>
        <v/>
      </c>
      <c r="N55" s="16" t="str">
        <f aca="false">IF(OR(B55="",M55=""),"",B55+M55/24)</f>
        <v/>
      </c>
      <c r="O55" s="12"/>
      <c r="P55" s="12"/>
      <c r="Q55" s="18"/>
      <c r="R55" s="17" t="str">
        <f aca="false">IF(OR(B55="",Q55=""),"",(Q55-B55)*24)</f>
        <v/>
      </c>
      <c r="S55" s="11" t="str">
        <f aca="false">IF(OR(N55="",Q55=""),"",IF(Q55&lt;=N55,"Sim","Não"))</f>
        <v/>
      </c>
      <c r="T55" s="19"/>
      <c r="U55" s="12"/>
      <c r="V55" s="12"/>
    </row>
    <row r="56" customFormat="false" ht="15" hidden="false" customHeight="false" outlineLevel="0" collapsed="false">
      <c r="A56" s="12"/>
      <c r="B56" s="18"/>
      <c r="C56" s="12"/>
      <c r="D56" s="11" t="str">
        <f aca="false">IF(C56="","",IFERROR(INDEX(Unidades!$B$2:$B$218,MATCH(C56,Unidades!$A$2:$A$218,0)),"Código não encontrado"))</f>
        <v/>
      </c>
      <c r="E56" s="11" t="str">
        <f aca="false">IF(C56="","",IFERROR(INDEX(Unidades!$C$2:$C$218,MATCH(C56,Unidades!$A$2:$A$218,0)),""))</f>
        <v/>
      </c>
      <c r="F56" s="12"/>
      <c r="G56" s="12"/>
      <c r="H56" s="12"/>
      <c r="I56" s="12"/>
      <c r="J56" s="12"/>
      <c r="K56" s="19"/>
      <c r="L56" s="12"/>
      <c r="M56" s="11" t="str">
        <f aca="false">IF(L56="","",IFERROR(INDEX(Prioridade_SLA!$B$2:$B$5,MATCH(L56,Prioridade_SLA!$A$2:$A$5,0)),""))</f>
        <v/>
      </c>
      <c r="N56" s="16" t="str">
        <f aca="false">IF(OR(B56="",M56=""),"",B56+M56/24)</f>
        <v/>
      </c>
      <c r="O56" s="12"/>
      <c r="P56" s="12"/>
      <c r="Q56" s="18"/>
      <c r="R56" s="17" t="str">
        <f aca="false">IF(OR(B56="",Q56=""),"",(Q56-B56)*24)</f>
        <v/>
      </c>
      <c r="S56" s="11" t="str">
        <f aca="false">IF(OR(N56="",Q56=""),"",IF(Q56&lt;=N56,"Sim","Não"))</f>
        <v/>
      </c>
      <c r="T56" s="19"/>
      <c r="U56" s="12"/>
      <c r="V56" s="12"/>
    </row>
    <row r="57" customFormat="false" ht="15" hidden="false" customHeight="false" outlineLevel="0" collapsed="false">
      <c r="A57" s="12"/>
      <c r="B57" s="18"/>
      <c r="C57" s="12"/>
      <c r="D57" s="11" t="str">
        <f aca="false">IF(C57="","",IFERROR(INDEX(Unidades!$B$2:$B$218,MATCH(C57,Unidades!$A$2:$A$218,0)),"Código não encontrado"))</f>
        <v/>
      </c>
      <c r="E57" s="11" t="str">
        <f aca="false">IF(C57="","",IFERROR(INDEX(Unidades!$C$2:$C$218,MATCH(C57,Unidades!$A$2:$A$218,0)),""))</f>
        <v/>
      </c>
      <c r="F57" s="12"/>
      <c r="G57" s="12"/>
      <c r="H57" s="12"/>
      <c r="I57" s="12"/>
      <c r="J57" s="12"/>
      <c r="K57" s="19"/>
      <c r="L57" s="12"/>
      <c r="M57" s="11" t="str">
        <f aca="false">IF(L57="","",IFERROR(INDEX(Prioridade_SLA!$B$2:$B$5,MATCH(L57,Prioridade_SLA!$A$2:$A$5,0)),""))</f>
        <v/>
      </c>
      <c r="N57" s="16" t="str">
        <f aca="false">IF(OR(B57="",M57=""),"",B57+M57/24)</f>
        <v/>
      </c>
      <c r="O57" s="12"/>
      <c r="P57" s="12"/>
      <c r="Q57" s="18"/>
      <c r="R57" s="17" t="str">
        <f aca="false">IF(OR(B57="",Q57=""),"",(Q57-B57)*24)</f>
        <v/>
      </c>
      <c r="S57" s="11" t="str">
        <f aca="false">IF(OR(N57="",Q57=""),"",IF(Q57&lt;=N57,"Sim","Não"))</f>
        <v/>
      </c>
      <c r="T57" s="19"/>
      <c r="U57" s="12"/>
      <c r="V57" s="12"/>
    </row>
    <row r="58" customFormat="false" ht="15" hidden="false" customHeight="false" outlineLevel="0" collapsed="false">
      <c r="A58" s="12"/>
      <c r="B58" s="18"/>
      <c r="C58" s="12"/>
      <c r="D58" s="11" t="str">
        <f aca="false">IF(C58="","",IFERROR(INDEX(Unidades!$B$2:$B$218,MATCH(C58,Unidades!$A$2:$A$218,0)),"Código não encontrado"))</f>
        <v/>
      </c>
      <c r="E58" s="11" t="str">
        <f aca="false">IF(C58="","",IFERROR(INDEX(Unidades!$C$2:$C$218,MATCH(C58,Unidades!$A$2:$A$218,0)),""))</f>
        <v/>
      </c>
      <c r="F58" s="12"/>
      <c r="G58" s="12"/>
      <c r="H58" s="12"/>
      <c r="I58" s="12"/>
      <c r="J58" s="12"/>
      <c r="K58" s="19"/>
      <c r="L58" s="12"/>
      <c r="M58" s="11" t="str">
        <f aca="false">IF(L58="","",IFERROR(INDEX(Prioridade_SLA!$B$2:$B$5,MATCH(L58,Prioridade_SLA!$A$2:$A$5,0)),""))</f>
        <v/>
      </c>
      <c r="N58" s="16" t="str">
        <f aca="false">IF(OR(B58="",M58=""),"",B58+M58/24)</f>
        <v/>
      </c>
      <c r="O58" s="12"/>
      <c r="P58" s="12"/>
      <c r="Q58" s="18"/>
      <c r="R58" s="17" t="str">
        <f aca="false">IF(OR(B58="",Q58=""),"",(Q58-B58)*24)</f>
        <v/>
      </c>
      <c r="S58" s="11" t="str">
        <f aca="false">IF(OR(N58="",Q58=""),"",IF(Q58&lt;=N58,"Sim","Não"))</f>
        <v/>
      </c>
      <c r="T58" s="19"/>
      <c r="U58" s="12"/>
      <c r="V58" s="12"/>
    </row>
    <row r="59" customFormat="false" ht="15" hidden="false" customHeight="false" outlineLevel="0" collapsed="false">
      <c r="A59" s="12"/>
      <c r="B59" s="18"/>
      <c r="C59" s="12"/>
      <c r="D59" s="11" t="str">
        <f aca="false">IF(C59="","",IFERROR(INDEX(Unidades!$B$2:$B$218,MATCH(C59,Unidades!$A$2:$A$218,0)),"Código não encontrado"))</f>
        <v/>
      </c>
      <c r="E59" s="11" t="str">
        <f aca="false">IF(C59="","",IFERROR(INDEX(Unidades!$C$2:$C$218,MATCH(C59,Unidades!$A$2:$A$218,0)),""))</f>
        <v/>
      </c>
      <c r="F59" s="12"/>
      <c r="G59" s="12"/>
      <c r="H59" s="12"/>
      <c r="I59" s="12"/>
      <c r="J59" s="12"/>
      <c r="K59" s="19"/>
      <c r="L59" s="12"/>
      <c r="M59" s="11" t="str">
        <f aca="false">IF(L59="","",IFERROR(INDEX(Prioridade_SLA!$B$2:$B$5,MATCH(L59,Prioridade_SLA!$A$2:$A$5,0)),""))</f>
        <v/>
      </c>
      <c r="N59" s="16" t="str">
        <f aca="false">IF(OR(B59="",M59=""),"",B59+M59/24)</f>
        <v/>
      </c>
      <c r="O59" s="12"/>
      <c r="P59" s="12"/>
      <c r="Q59" s="18"/>
      <c r="R59" s="17" t="str">
        <f aca="false">IF(OR(B59="",Q59=""),"",(Q59-B59)*24)</f>
        <v/>
      </c>
      <c r="S59" s="11" t="str">
        <f aca="false">IF(OR(N59="",Q59=""),"",IF(Q59&lt;=N59,"Sim","Não"))</f>
        <v/>
      </c>
      <c r="T59" s="19"/>
      <c r="U59" s="12"/>
      <c r="V59" s="12"/>
    </row>
    <row r="60" customFormat="false" ht="15" hidden="false" customHeight="false" outlineLevel="0" collapsed="false">
      <c r="A60" s="12"/>
      <c r="B60" s="18"/>
      <c r="C60" s="12"/>
      <c r="D60" s="11" t="str">
        <f aca="false">IF(C60="","",IFERROR(INDEX(Unidades!$B$2:$B$218,MATCH(C60,Unidades!$A$2:$A$218,0)),"Código não encontrado"))</f>
        <v/>
      </c>
      <c r="E60" s="11" t="str">
        <f aca="false">IF(C60="","",IFERROR(INDEX(Unidades!$C$2:$C$218,MATCH(C60,Unidades!$A$2:$A$218,0)),""))</f>
        <v/>
      </c>
      <c r="F60" s="12"/>
      <c r="G60" s="12"/>
      <c r="H60" s="12"/>
      <c r="I60" s="12"/>
      <c r="J60" s="12"/>
      <c r="K60" s="19"/>
      <c r="L60" s="12"/>
      <c r="M60" s="11" t="str">
        <f aca="false">IF(L60="","",IFERROR(INDEX(Prioridade_SLA!$B$2:$B$5,MATCH(L60,Prioridade_SLA!$A$2:$A$5,0)),""))</f>
        <v/>
      </c>
      <c r="N60" s="16" t="str">
        <f aca="false">IF(OR(B60="",M60=""),"",B60+M60/24)</f>
        <v/>
      </c>
      <c r="O60" s="12"/>
      <c r="P60" s="12"/>
      <c r="Q60" s="18"/>
      <c r="R60" s="17" t="str">
        <f aca="false">IF(OR(B60="",Q60=""),"",(Q60-B60)*24)</f>
        <v/>
      </c>
      <c r="S60" s="11" t="str">
        <f aca="false">IF(OR(N60="",Q60=""),"",IF(Q60&lt;=N60,"Sim","Não"))</f>
        <v/>
      </c>
      <c r="T60" s="19"/>
      <c r="U60" s="12"/>
      <c r="V60" s="12"/>
    </row>
    <row r="61" customFormat="false" ht="15" hidden="false" customHeight="false" outlineLevel="0" collapsed="false">
      <c r="A61" s="12"/>
      <c r="B61" s="18"/>
      <c r="C61" s="12"/>
      <c r="D61" s="11" t="str">
        <f aca="false">IF(C61="","",IFERROR(INDEX(Unidades!$B$2:$B$218,MATCH(C61,Unidades!$A$2:$A$218,0)),"Código não encontrado"))</f>
        <v/>
      </c>
      <c r="E61" s="11" t="str">
        <f aca="false">IF(C61="","",IFERROR(INDEX(Unidades!$C$2:$C$218,MATCH(C61,Unidades!$A$2:$A$218,0)),""))</f>
        <v/>
      </c>
      <c r="F61" s="12"/>
      <c r="G61" s="12"/>
      <c r="H61" s="12"/>
      <c r="I61" s="12"/>
      <c r="J61" s="12"/>
      <c r="K61" s="19"/>
      <c r="L61" s="12"/>
      <c r="M61" s="11" t="str">
        <f aca="false">IF(L61="","",IFERROR(INDEX(Prioridade_SLA!$B$2:$B$5,MATCH(L61,Prioridade_SLA!$A$2:$A$5,0)),""))</f>
        <v/>
      </c>
      <c r="N61" s="16" t="str">
        <f aca="false">IF(OR(B61="",M61=""),"",B61+M61/24)</f>
        <v/>
      </c>
      <c r="O61" s="12"/>
      <c r="P61" s="12"/>
      <c r="Q61" s="18"/>
      <c r="R61" s="17" t="str">
        <f aca="false">IF(OR(B61="",Q61=""),"",(Q61-B61)*24)</f>
        <v/>
      </c>
      <c r="S61" s="11" t="str">
        <f aca="false">IF(OR(N61="",Q61=""),"",IF(Q61&lt;=N61,"Sim","Não"))</f>
        <v/>
      </c>
      <c r="T61" s="19"/>
      <c r="U61" s="12"/>
      <c r="V61" s="12"/>
    </row>
    <row r="62" customFormat="false" ht="15" hidden="false" customHeight="false" outlineLevel="0" collapsed="false">
      <c r="A62" s="12"/>
      <c r="B62" s="18"/>
      <c r="C62" s="12"/>
      <c r="D62" s="11" t="str">
        <f aca="false">IF(C62="","",IFERROR(INDEX(Unidades!$B$2:$B$218,MATCH(C62,Unidades!$A$2:$A$218,0)),"Código não encontrado"))</f>
        <v/>
      </c>
      <c r="E62" s="11" t="str">
        <f aca="false">IF(C62="","",IFERROR(INDEX(Unidades!$C$2:$C$218,MATCH(C62,Unidades!$A$2:$A$218,0)),""))</f>
        <v/>
      </c>
      <c r="F62" s="12"/>
      <c r="G62" s="12"/>
      <c r="H62" s="12"/>
      <c r="I62" s="12"/>
      <c r="J62" s="12"/>
      <c r="K62" s="19"/>
      <c r="L62" s="12"/>
      <c r="M62" s="11" t="str">
        <f aca="false">IF(L62="","",IFERROR(INDEX(Prioridade_SLA!$B$2:$B$5,MATCH(L62,Prioridade_SLA!$A$2:$A$5,0)),""))</f>
        <v/>
      </c>
      <c r="N62" s="16" t="str">
        <f aca="false">IF(OR(B62="",M62=""),"",B62+M62/24)</f>
        <v/>
      </c>
      <c r="O62" s="12"/>
      <c r="P62" s="12"/>
      <c r="Q62" s="18"/>
      <c r="R62" s="17" t="str">
        <f aca="false">IF(OR(B62="",Q62=""),"",(Q62-B62)*24)</f>
        <v/>
      </c>
      <c r="S62" s="11" t="str">
        <f aca="false">IF(OR(N62="",Q62=""),"",IF(Q62&lt;=N62,"Sim","Não"))</f>
        <v/>
      </c>
      <c r="T62" s="19"/>
      <c r="U62" s="12"/>
      <c r="V62" s="12"/>
    </row>
    <row r="63" customFormat="false" ht="15" hidden="false" customHeight="false" outlineLevel="0" collapsed="false">
      <c r="A63" s="12"/>
      <c r="B63" s="18"/>
      <c r="C63" s="12"/>
      <c r="D63" s="11" t="str">
        <f aca="false">IF(C63="","",IFERROR(INDEX(Unidades!$B$2:$B$218,MATCH(C63,Unidades!$A$2:$A$218,0)),"Código não encontrado"))</f>
        <v/>
      </c>
      <c r="E63" s="11" t="str">
        <f aca="false">IF(C63="","",IFERROR(INDEX(Unidades!$C$2:$C$218,MATCH(C63,Unidades!$A$2:$A$218,0)),""))</f>
        <v/>
      </c>
      <c r="F63" s="12"/>
      <c r="G63" s="12"/>
      <c r="H63" s="12"/>
      <c r="I63" s="12"/>
      <c r="J63" s="12"/>
      <c r="K63" s="19"/>
      <c r="L63" s="12"/>
      <c r="M63" s="11" t="str">
        <f aca="false">IF(L63="","",IFERROR(INDEX(Prioridade_SLA!$B$2:$B$5,MATCH(L63,Prioridade_SLA!$A$2:$A$5,0)),""))</f>
        <v/>
      </c>
      <c r="N63" s="16" t="str">
        <f aca="false">IF(OR(B63="",M63=""),"",B63+M63/24)</f>
        <v/>
      </c>
      <c r="O63" s="12"/>
      <c r="P63" s="12"/>
      <c r="Q63" s="18"/>
      <c r="R63" s="17" t="str">
        <f aca="false">IF(OR(B63="",Q63=""),"",(Q63-B63)*24)</f>
        <v/>
      </c>
      <c r="S63" s="11" t="str">
        <f aca="false">IF(OR(N63="",Q63=""),"",IF(Q63&lt;=N63,"Sim","Não"))</f>
        <v/>
      </c>
      <c r="T63" s="19"/>
      <c r="U63" s="12"/>
      <c r="V63" s="12"/>
    </row>
    <row r="64" customFormat="false" ht="15" hidden="false" customHeight="false" outlineLevel="0" collapsed="false">
      <c r="A64" s="12"/>
      <c r="B64" s="18"/>
      <c r="C64" s="12"/>
      <c r="D64" s="11" t="str">
        <f aca="false">IF(C64="","",IFERROR(INDEX(Unidades!$B$2:$B$218,MATCH(C64,Unidades!$A$2:$A$218,0)),"Código não encontrado"))</f>
        <v/>
      </c>
      <c r="E64" s="11" t="str">
        <f aca="false">IF(C64="","",IFERROR(INDEX(Unidades!$C$2:$C$218,MATCH(C64,Unidades!$A$2:$A$218,0)),""))</f>
        <v/>
      </c>
      <c r="F64" s="12"/>
      <c r="G64" s="12"/>
      <c r="H64" s="12"/>
      <c r="I64" s="12"/>
      <c r="J64" s="12"/>
      <c r="K64" s="19"/>
      <c r="L64" s="12"/>
      <c r="M64" s="11" t="str">
        <f aca="false">IF(L64="","",IFERROR(INDEX(Prioridade_SLA!$B$2:$B$5,MATCH(L64,Prioridade_SLA!$A$2:$A$5,0)),""))</f>
        <v/>
      </c>
      <c r="N64" s="16" t="str">
        <f aca="false">IF(OR(B64="",M64=""),"",B64+M64/24)</f>
        <v/>
      </c>
      <c r="O64" s="12"/>
      <c r="P64" s="12"/>
      <c r="Q64" s="18"/>
      <c r="R64" s="17" t="str">
        <f aca="false">IF(OR(B64="",Q64=""),"",(Q64-B64)*24)</f>
        <v/>
      </c>
      <c r="S64" s="11" t="str">
        <f aca="false">IF(OR(N64="",Q64=""),"",IF(Q64&lt;=N64,"Sim","Não"))</f>
        <v/>
      </c>
      <c r="T64" s="19"/>
      <c r="U64" s="12"/>
      <c r="V64" s="12"/>
    </row>
    <row r="65" customFormat="false" ht="15" hidden="false" customHeight="false" outlineLevel="0" collapsed="false">
      <c r="A65" s="12"/>
      <c r="B65" s="18"/>
      <c r="C65" s="12"/>
      <c r="D65" s="11" t="str">
        <f aca="false">IF(C65="","",IFERROR(INDEX(Unidades!$B$2:$B$218,MATCH(C65,Unidades!$A$2:$A$218,0)),"Código não encontrado"))</f>
        <v/>
      </c>
      <c r="E65" s="11" t="str">
        <f aca="false">IF(C65="","",IFERROR(INDEX(Unidades!$C$2:$C$218,MATCH(C65,Unidades!$A$2:$A$218,0)),""))</f>
        <v/>
      </c>
      <c r="F65" s="12"/>
      <c r="G65" s="12"/>
      <c r="H65" s="12"/>
      <c r="I65" s="12"/>
      <c r="J65" s="12"/>
      <c r="K65" s="19"/>
      <c r="L65" s="12"/>
      <c r="M65" s="11" t="str">
        <f aca="false">IF(L65="","",IFERROR(INDEX(Prioridade_SLA!$B$2:$B$5,MATCH(L65,Prioridade_SLA!$A$2:$A$5,0)),""))</f>
        <v/>
      </c>
      <c r="N65" s="16" t="str">
        <f aca="false">IF(OR(B65="",M65=""),"",B65+M65/24)</f>
        <v/>
      </c>
      <c r="O65" s="12"/>
      <c r="P65" s="12"/>
      <c r="Q65" s="18"/>
      <c r="R65" s="17" t="str">
        <f aca="false">IF(OR(B65="",Q65=""),"",(Q65-B65)*24)</f>
        <v/>
      </c>
      <c r="S65" s="11" t="str">
        <f aca="false">IF(OR(N65="",Q65=""),"",IF(Q65&lt;=N65,"Sim","Não"))</f>
        <v/>
      </c>
      <c r="T65" s="19"/>
      <c r="U65" s="12"/>
      <c r="V65" s="12"/>
    </row>
    <row r="66" customFormat="false" ht="15" hidden="false" customHeight="false" outlineLevel="0" collapsed="false">
      <c r="A66" s="12"/>
      <c r="B66" s="18"/>
      <c r="C66" s="12"/>
      <c r="D66" s="11" t="str">
        <f aca="false">IF(C66="","",IFERROR(INDEX(Unidades!$B$2:$B$218,MATCH(C66,Unidades!$A$2:$A$218,0)),"Código não encontrado"))</f>
        <v/>
      </c>
      <c r="E66" s="11" t="str">
        <f aca="false">IF(C66="","",IFERROR(INDEX(Unidades!$C$2:$C$218,MATCH(C66,Unidades!$A$2:$A$218,0)),""))</f>
        <v/>
      </c>
      <c r="F66" s="12"/>
      <c r="G66" s="12"/>
      <c r="H66" s="12"/>
      <c r="I66" s="12"/>
      <c r="J66" s="12"/>
      <c r="K66" s="19"/>
      <c r="L66" s="12"/>
      <c r="M66" s="11" t="str">
        <f aca="false">IF(L66="","",IFERROR(INDEX(Prioridade_SLA!$B$2:$B$5,MATCH(L66,Prioridade_SLA!$A$2:$A$5,0)),""))</f>
        <v/>
      </c>
      <c r="N66" s="16" t="str">
        <f aca="false">IF(OR(B66="",M66=""),"",B66+M66/24)</f>
        <v/>
      </c>
      <c r="O66" s="12"/>
      <c r="P66" s="12"/>
      <c r="Q66" s="18"/>
      <c r="R66" s="17" t="str">
        <f aca="false">IF(OR(B66="",Q66=""),"",(Q66-B66)*24)</f>
        <v/>
      </c>
      <c r="S66" s="11" t="str">
        <f aca="false">IF(OR(N66="",Q66=""),"",IF(Q66&lt;=N66,"Sim","Não"))</f>
        <v/>
      </c>
      <c r="T66" s="19"/>
      <c r="U66" s="12"/>
      <c r="V66" s="12"/>
    </row>
    <row r="67" customFormat="false" ht="15" hidden="false" customHeight="false" outlineLevel="0" collapsed="false">
      <c r="A67" s="12"/>
      <c r="B67" s="18"/>
      <c r="C67" s="12"/>
      <c r="D67" s="11" t="str">
        <f aca="false">IF(C67="","",IFERROR(INDEX(Unidades!$B$2:$B$218,MATCH(C67,Unidades!$A$2:$A$218,0)),"Código não encontrado"))</f>
        <v/>
      </c>
      <c r="E67" s="11" t="str">
        <f aca="false">IF(C67="","",IFERROR(INDEX(Unidades!$C$2:$C$218,MATCH(C67,Unidades!$A$2:$A$218,0)),""))</f>
        <v/>
      </c>
      <c r="F67" s="12"/>
      <c r="G67" s="12"/>
      <c r="H67" s="12"/>
      <c r="I67" s="12"/>
      <c r="J67" s="12"/>
      <c r="K67" s="19"/>
      <c r="L67" s="12"/>
      <c r="M67" s="11" t="str">
        <f aca="false">IF(L67="","",IFERROR(INDEX(Prioridade_SLA!$B$2:$B$5,MATCH(L67,Prioridade_SLA!$A$2:$A$5,0)),""))</f>
        <v/>
      </c>
      <c r="N67" s="16" t="str">
        <f aca="false">IF(OR(B67="",M67=""),"",B67+M67/24)</f>
        <v/>
      </c>
      <c r="O67" s="12"/>
      <c r="P67" s="12"/>
      <c r="Q67" s="18"/>
      <c r="R67" s="17" t="str">
        <f aca="false">IF(OR(B67="",Q67=""),"",(Q67-B67)*24)</f>
        <v/>
      </c>
      <c r="S67" s="11" t="str">
        <f aca="false">IF(OR(N67="",Q67=""),"",IF(Q67&lt;=N67,"Sim","Não"))</f>
        <v/>
      </c>
      <c r="T67" s="19"/>
      <c r="U67" s="12"/>
      <c r="V67" s="12"/>
    </row>
    <row r="68" customFormat="false" ht="15" hidden="false" customHeight="false" outlineLevel="0" collapsed="false">
      <c r="A68" s="12"/>
      <c r="B68" s="18"/>
      <c r="C68" s="12"/>
      <c r="D68" s="11" t="str">
        <f aca="false">IF(C68="","",IFERROR(INDEX(Unidades!$B$2:$B$218,MATCH(C68,Unidades!$A$2:$A$218,0)),"Código não encontrado"))</f>
        <v/>
      </c>
      <c r="E68" s="11" t="str">
        <f aca="false">IF(C68="","",IFERROR(INDEX(Unidades!$C$2:$C$218,MATCH(C68,Unidades!$A$2:$A$218,0)),""))</f>
        <v/>
      </c>
      <c r="F68" s="12"/>
      <c r="G68" s="12"/>
      <c r="H68" s="12"/>
      <c r="I68" s="12"/>
      <c r="J68" s="12"/>
      <c r="K68" s="19"/>
      <c r="L68" s="12"/>
      <c r="M68" s="11" t="str">
        <f aca="false">IF(L68="","",IFERROR(INDEX(Prioridade_SLA!$B$2:$B$5,MATCH(L68,Prioridade_SLA!$A$2:$A$5,0)),""))</f>
        <v/>
      </c>
      <c r="N68" s="16" t="str">
        <f aca="false">IF(OR(B68="",M68=""),"",B68+M68/24)</f>
        <v/>
      </c>
      <c r="O68" s="12"/>
      <c r="P68" s="12"/>
      <c r="Q68" s="18"/>
      <c r="R68" s="17" t="str">
        <f aca="false">IF(OR(B68="",Q68=""),"",(Q68-B68)*24)</f>
        <v/>
      </c>
      <c r="S68" s="11" t="str">
        <f aca="false">IF(OR(N68="",Q68=""),"",IF(Q68&lt;=N68,"Sim","Não"))</f>
        <v/>
      </c>
      <c r="T68" s="19"/>
      <c r="U68" s="12"/>
      <c r="V68" s="12"/>
    </row>
    <row r="69" customFormat="false" ht="15" hidden="false" customHeight="false" outlineLevel="0" collapsed="false">
      <c r="A69" s="12"/>
      <c r="B69" s="18"/>
      <c r="C69" s="12"/>
      <c r="D69" s="11" t="str">
        <f aca="false">IF(C69="","",IFERROR(INDEX(Unidades!$B$2:$B$218,MATCH(C69,Unidades!$A$2:$A$218,0)),"Código não encontrado"))</f>
        <v/>
      </c>
      <c r="E69" s="11" t="str">
        <f aca="false">IF(C69="","",IFERROR(INDEX(Unidades!$C$2:$C$218,MATCH(C69,Unidades!$A$2:$A$218,0)),""))</f>
        <v/>
      </c>
      <c r="F69" s="12"/>
      <c r="G69" s="12"/>
      <c r="H69" s="12"/>
      <c r="I69" s="12"/>
      <c r="J69" s="12"/>
      <c r="K69" s="19"/>
      <c r="L69" s="12"/>
      <c r="M69" s="11" t="str">
        <f aca="false">IF(L69="","",IFERROR(INDEX(Prioridade_SLA!$B$2:$B$5,MATCH(L69,Prioridade_SLA!$A$2:$A$5,0)),""))</f>
        <v/>
      </c>
      <c r="N69" s="16" t="str">
        <f aca="false">IF(OR(B69="",M69=""),"",B69+M69/24)</f>
        <v/>
      </c>
      <c r="O69" s="12"/>
      <c r="P69" s="12"/>
      <c r="Q69" s="18"/>
      <c r="R69" s="17" t="str">
        <f aca="false">IF(OR(B69="",Q69=""),"",(Q69-B69)*24)</f>
        <v/>
      </c>
      <c r="S69" s="11" t="str">
        <f aca="false">IF(OR(N69="",Q69=""),"",IF(Q69&lt;=N69,"Sim","Não"))</f>
        <v/>
      </c>
      <c r="T69" s="19"/>
      <c r="U69" s="12"/>
      <c r="V69" s="12"/>
    </row>
    <row r="70" customFormat="false" ht="15" hidden="false" customHeight="false" outlineLevel="0" collapsed="false">
      <c r="A70" s="12"/>
      <c r="B70" s="18"/>
      <c r="C70" s="12"/>
      <c r="D70" s="11" t="str">
        <f aca="false">IF(C70="","",IFERROR(INDEX(Unidades!$B$2:$B$218,MATCH(C70,Unidades!$A$2:$A$218,0)),"Código não encontrado"))</f>
        <v/>
      </c>
      <c r="E70" s="11" t="str">
        <f aca="false">IF(C70="","",IFERROR(INDEX(Unidades!$C$2:$C$218,MATCH(C70,Unidades!$A$2:$A$218,0)),""))</f>
        <v/>
      </c>
      <c r="F70" s="12"/>
      <c r="G70" s="12"/>
      <c r="H70" s="12"/>
      <c r="I70" s="12"/>
      <c r="J70" s="12"/>
      <c r="K70" s="19"/>
      <c r="L70" s="12"/>
      <c r="M70" s="11" t="str">
        <f aca="false">IF(L70="","",IFERROR(INDEX(Prioridade_SLA!$B$2:$B$5,MATCH(L70,Prioridade_SLA!$A$2:$A$5,0)),""))</f>
        <v/>
      </c>
      <c r="N70" s="16" t="str">
        <f aca="false">IF(OR(B70="",M70=""),"",B70+M70/24)</f>
        <v/>
      </c>
      <c r="O70" s="12"/>
      <c r="P70" s="12"/>
      <c r="Q70" s="18"/>
      <c r="R70" s="17" t="str">
        <f aca="false">IF(OR(B70="",Q70=""),"",(Q70-B70)*24)</f>
        <v/>
      </c>
      <c r="S70" s="11" t="str">
        <f aca="false">IF(OR(N70="",Q70=""),"",IF(Q70&lt;=N70,"Sim","Não"))</f>
        <v/>
      </c>
      <c r="T70" s="19"/>
      <c r="U70" s="12"/>
      <c r="V70" s="12"/>
    </row>
    <row r="71" customFormat="false" ht="15" hidden="false" customHeight="false" outlineLevel="0" collapsed="false">
      <c r="A71" s="12"/>
      <c r="B71" s="18"/>
      <c r="C71" s="12"/>
      <c r="D71" s="11" t="str">
        <f aca="false">IF(C71="","",IFERROR(INDEX(Unidades!$B$2:$B$218,MATCH(C71,Unidades!$A$2:$A$218,0)),"Código não encontrado"))</f>
        <v/>
      </c>
      <c r="E71" s="11" t="str">
        <f aca="false">IF(C71="","",IFERROR(INDEX(Unidades!$C$2:$C$218,MATCH(C71,Unidades!$A$2:$A$218,0)),""))</f>
        <v/>
      </c>
      <c r="F71" s="12"/>
      <c r="G71" s="12"/>
      <c r="H71" s="12"/>
      <c r="I71" s="12"/>
      <c r="J71" s="12"/>
      <c r="K71" s="19"/>
      <c r="L71" s="12"/>
      <c r="M71" s="11" t="str">
        <f aca="false">IF(L71="","",IFERROR(INDEX(Prioridade_SLA!$B$2:$B$5,MATCH(L71,Prioridade_SLA!$A$2:$A$5,0)),""))</f>
        <v/>
      </c>
      <c r="N71" s="16" t="str">
        <f aca="false">IF(OR(B71="",M71=""),"",B71+M71/24)</f>
        <v/>
      </c>
      <c r="O71" s="12"/>
      <c r="P71" s="12"/>
      <c r="Q71" s="18"/>
      <c r="R71" s="17" t="str">
        <f aca="false">IF(OR(B71="",Q71=""),"",(Q71-B71)*24)</f>
        <v/>
      </c>
      <c r="S71" s="11" t="str">
        <f aca="false">IF(OR(N71="",Q71=""),"",IF(Q71&lt;=N71,"Sim","Não"))</f>
        <v/>
      </c>
      <c r="T71" s="19"/>
      <c r="U71" s="12"/>
      <c r="V71" s="12"/>
    </row>
    <row r="72" customFormat="false" ht="15" hidden="false" customHeight="false" outlineLevel="0" collapsed="false">
      <c r="A72" s="12"/>
      <c r="B72" s="18"/>
      <c r="C72" s="12"/>
      <c r="D72" s="11" t="str">
        <f aca="false">IF(C72="","",IFERROR(INDEX(Unidades!$B$2:$B$218,MATCH(C72,Unidades!$A$2:$A$218,0)),"Código não encontrado"))</f>
        <v/>
      </c>
      <c r="E72" s="11" t="str">
        <f aca="false">IF(C72="","",IFERROR(INDEX(Unidades!$C$2:$C$218,MATCH(C72,Unidades!$A$2:$A$218,0)),""))</f>
        <v/>
      </c>
      <c r="F72" s="12"/>
      <c r="G72" s="12"/>
      <c r="H72" s="12"/>
      <c r="I72" s="12"/>
      <c r="J72" s="12"/>
      <c r="K72" s="19"/>
      <c r="L72" s="12"/>
      <c r="M72" s="11" t="str">
        <f aca="false">IF(L72="","",IFERROR(INDEX(Prioridade_SLA!$B$2:$B$5,MATCH(L72,Prioridade_SLA!$A$2:$A$5,0)),""))</f>
        <v/>
      </c>
      <c r="N72" s="16" t="str">
        <f aca="false">IF(OR(B72="",M72=""),"",B72+M72/24)</f>
        <v/>
      </c>
      <c r="O72" s="12"/>
      <c r="P72" s="12"/>
      <c r="Q72" s="18"/>
      <c r="R72" s="17" t="str">
        <f aca="false">IF(OR(B72="",Q72=""),"",(Q72-B72)*24)</f>
        <v/>
      </c>
      <c r="S72" s="11" t="str">
        <f aca="false">IF(OR(N72="",Q72=""),"",IF(Q72&lt;=N72,"Sim","Não"))</f>
        <v/>
      </c>
      <c r="T72" s="19"/>
      <c r="U72" s="12"/>
      <c r="V72" s="12"/>
    </row>
    <row r="73" customFormat="false" ht="15" hidden="false" customHeight="false" outlineLevel="0" collapsed="false">
      <c r="A73" s="12"/>
      <c r="B73" s="18"/>
      <c r="C73" s="12"/>
      <c r="D73" s="11" t="str">
        <f aca="false">IF(C73="","",IFERROR(INDEX(Unidades!$B$2:$B$218,MATCH(C73,Unidades!$A$2:$A$218,0)),"Código não encontrado"))</f>
        <v/>
      </c>
      <c r="E73" s="11" t="str">
        <f aca="false">IF(C73="","",IFERROR(INDEX(Unidades!$C$2:$C$218,MATCH(C73,Unidades!$A$2:$A$218,0)),""))</f>
        <v/>
      </c>
      <c r="F73" s="12"/>
      <c r="G73" s="12"/>
      <c r="H73" s="12"/>
      <c r="I73" s="12"/>
      <c r="J73" s="12"/>
      <c r="K73" s="19"/>
      <c r="L73" s="12"/>
      <c r="M73" s="11" t="str">
        <f aca="false">IF(L73="","",IFERROR(INDEX(Prioridade_SLA!$B$2:$B$5,MATCH(L73,Prioridade_SLA!$A$2:$A$5,0)),""))</f>
        <v/>
      </c>
      <c r="N73" s="16" t="str">
        <f aca="false">IF(OR(B73="",M73=""),"",B73+M73/24)</f>
        <v/>
      </c>
      <c r="O73" s="12"/>
      <c r="P73" s="12"/>
      <c r="Q73" s="18"/>
      <c r="R73" s="17" t="str">
        <f aca="false">IF(OR(B73="",Q73=""),"",(Q73-B73)*24)</f>
        <v/>
      </c>
      <c r="S73" s="11" t="str">
        <f aca="false">IF(OR(N73="",Q73=""),"",IF(Q73&lt;=N73,"Sim","Não"))</f>
        <v/>
      </c>
      <c r="T73" s="19"/>
      <c r="U73" s="12"/>
      <c r="V73" s="12"/>
    </row>
    <row r="74" customFormat="false" ht="15" hidden="false" customHeight="false" outlineLevel="0" collapsed="false">
      <c r="A74" s="12"/>
      <c r="B74" s="18"/>
      <c r="C74" s="12"/>
      <c r="D74" s="11" t="str">
        <f aca="false">IF(C74="","",IFERROR(INDEX(Unidades!$B$2:$B$218,MATCH(C74,Unidades!$A$2:$A$218,0)),"Código não encontrado"))</f>
        <v/>
      </c>
      <c r="E74" s="11" t="str">
        <f aca="false">IF(C74="","",IFERROR(INDEX(Unidades!$C$2:$C$218,MATCH(C74,Unidades!$A$2:$A$218,0)),""))</f>
        <v/>
      </c>
      <c r="F74" s="12"/>
      <c r="G74" s="12"/>
      <c r="H74" s="12"/>
      <c r="I74" s="12"/>
      <c r="J74" s="12"/>
      <c r="K74" s="19"/>
      <c r="L74" s="12"/>
      <c r="M74" s="11" t="str">
        <f aca="false">IF(L74="","",IFERROR(INDEX(Prioridade_SLA!$B$2:$B$5,MATCH(L74,Prioridade_SLA!$A$2:$A$5,0)),""))</f>
        <v/>
      </c>
      <c r="N74" s="16" t="str">
        <f aca="false">IF(OR(B74="",M74=""),"",B74+M74/24)</f>
        <v/>
      </c>
      <c r="O74" s="12"/>
      <c r="P74" s="12"/>
      <c r="Q74" s="18"/>
      <c r="R74" s="17" t="str">
        <f aca="false">IF(OR(B74="",Q74=""),"",(Q74-B74)*24)</f>
        <v/>
      </c>
      <c r="S74" s="11" t="str">
        <f aca="false">IF(OR(N74="",Q74=""),"",IF(Q74&lt;=N74,"Sim","Não"))</f>
        <v/>
      </c>
      <c r="T74" s="19"/>
      <c r="U74" s="12"/>
      <c r="V74" s="12"/>
    </row>
    <row r="75" customFormat="false" ht="15" hidden="false" customHeight="false" outlineLevel="0" collapsed="false">
      <c r="A75" s="12"/>
      <c r="B75" s="18"/>
      <c r="C75" s="12"/>
      <c r="D75" s="11" t="str">
        <f aca="false">IF(C75="","",IFERROR(INDEX(Unidades!$B$2:$B$218,MATCH(C75,Unidades!$A$2:$A$218,0)),"Código não encontrado"))</f>
        <v/>
      </c>
      <c r="E75" s="11" t="str">
        <f aca="false">IF(C75="","",IFERROR(INDEX(Unidades!$C$2:$C$218,MATCH(C75,Unidades!$A$2:$A$218,0)),""))</f>
        <v/>
      </c>
      <c r="F75" s="12"/>
      <c r="G75" s="12"/>
      <c r="H75" s="12"/>
      <c r="I75" s="12"/>
      <c r="J75" s="12"/>
      <c r="K75" s="19"/>
      <c r="L75" s="12"/>
      <c r="M75" s="11" t="str">
        <f aca="false">IF(L75="","",IFERROR(INDEX(Prioridade_SLA!$B$2:$B$5,MATCH(L75,Prioridade_SLA!$A$2:$A$5,0)),""))</f>
        <v/>
      </c>
      <c r="N75" s="16" t="str">
        <f aca="false">IF(OR(B75="",M75=""),"",B75+M75/24)</f>
        <v/>
      </c>
      <c r="O75" s="12"/>
      <c r="P75" s="12"/>
      <c r="Q75" s="18"/>
      <c r="R75" s="17" t="str">
        <f aca="false">IF(OR(B75="",Q75=""),"",(Q75-B75)*24)</f>
        <v/>
      </c>
      <c r="S75" s="11" t="str">
        <f aca="false">IF(OR(N75="",Q75=""),"",IF(Q75&lt;=N75,"Sim","Não"))</f>
        <v/>
      </c>
      <c r="T75" s="19"/>
      <c r="U75" s="12"/>
      <c r="V75" s="12"/>
    </row>
    <row r="76" customFormat="false" ht="15" hidden="false" customHeight="false" outlineLevel="0" collapsed="false">
      <c r="A76" s="12"/>
      <c r="B76" s="18"/>
      <c r="C76" s="12"/>
      <c r="D76" s="11" t="str">
        <f aca="false">IF(C76="","",IFERROR(INDEX(Unidades!$B$2:$B$218,MATCH(C76,Unidades!$A$2:$A$218,0)),"Código não encontrado"))</f>
        <v/>
      </c>
      <c r="E76" s="11" t="str">
        <f aca="false">IF(C76="","",IFERROR(INDEX(Unidades!$C$2:$C$218,MATCH(C76,Unidades!$A$2:$A$218,0)),""))</f>
        <v/>
      </c>
      <c r="F76" s="12"/>
      <c r="G76" s="12"/>
      <c r="H76" s="12"/>
      <c r="I76" s="12"/>
      <c r="J76" s="12"/>
      <c r="K76" s="19"/>
      <c r="L76" s="12"/>
      <c r="M76" s="11" t="str">
        <f aca="false">IF(L76="","",IFERROR(INDEX(Prioridade_SLA!$B$2:$B$5,MATCH(L76,Prioridade_SLA!$A$2:$A$5,0)),""))</f>
        <v/>
      </c>
      <c r="N76" s="16" t="str">
        <f aca="false">IF(OR(B76="",M76=""),"",B76+M76/24)</f>
        <v/>
      </c>
      <c r="O76" s="12"/>
      <c r="P76" s="12"/>
      <c r="Q76" s="18"/>
      <c r="R76" s="17" t="str">
        <f aca="false">IF(OR(B76="",Q76=""),"",(Q76-B76)*24)</f>
        <v/>
      </c>
      <c r="S76" s="11" t="str">
        <f aca="false">IF(OR(N76="",Q76=""),"",IF(Q76&lt;=N76,"Sim","Não"))</f>
        <v/>
      </c>
      <c r="T76" s="19"/>
      <c r="U76" s="12"/>
      <c r="V76" s="12"/>
    </row>
    <row r="77" customFormat="false" ht="15" hidden="false" customHeight="false" outlineLevel="0" collapsed="false">
      <c r="A77" s="12"/>
      <c r="B77" s="18"/>
      <c r="C77" s="12"/>
      <c r="D77" s="11" t="str">
        <f aca="false">IF(C77="","",IFERROR(INDEX(Unidades!$B$2:$B$218,MATCH(C77,Unidades!$A$2:$A$218,0)),"Código não encontrado"))</f>
        <v/>
      </c>
      <c r="E77" s="11" t="str">
        <f aca="false">IF(C77="","",IFERROR(INDEX(Unidades!$C$2:$C$218,MATCH(C77,Unidades!$A$2:$A$218,0)),""))</f>
        <v/>
      </c>
      <c r="F77" s="12"/>
      <c r="G77" s="12"/>
      <c r="H77" s="12"/>
      <c r="I77" s="12"/>
      <c r="J77" s="12"/>
      <c r="K77" s="19"/>
      <c r="L77" s="12"/>
      <c r="M77" s="11" t="str">
        <f aca="false">IF(L77="","",IFERROR(INDEX(Prioridade_SLA!$B$2:$B$5,MATCH(L77,Prioridade_SLA!$A$2:$A$5,0)),""))</f>
        <v/>
      </c>
      <c r="N77" s="16" t="str">
        <f aca="false">IF(OR(B77="",M77=""),"",B77+M77/24)</f>
        <v/>
      </c>
      <c r="O77" s="12"/>
      <c r="P77" s="12"/>
      <c r="Q77" s="18"/>
      <c r="R77" s="17" t="str">
        <f aca="false">IF(OR(B77="",Q77=""),"",(Q77-B77)*24)</f>
        <v/>
      </c>
      <c r="S77" s="11" t="str">
        <f aca="false">IF(OR(N77="",Q77=""),"",IF(Q77&lt;=N77,"Sim","Não"))</f>
        <v/>
      </c>
      <c r="T77" s="19"/>
      <c r="U77" s="12"/>
      <c r="V77" s="12"/>
    </row>
    <row r="78" customFormat="false" ht="15" hidden="false" customHeight="false" outlineLevel="0" collapsed="false">
      <c r="A78" s="12"/>
      <c r="B78" s="18"/>
      <c r="C78" s="12"/>
      <c r="D78" s="11" t="str">
        <f aca="false">IF(C78="","",IFERROR(INDEX(Unidades!$B$2:$B$218,MATCH(C78,Unidades!$A$2:$A$218,0)),"Código não encontrado"))</f>
        <v/>
      </c>
      <c r="E78" s="11" t="str">
        <f aca="false">IF(C78="","",IFERROR(INDEX(Unidades!$C$2:$C$218,MATCH(C78,Unidades!$A$2:$A$218,0)),""))</f>
        <v/>
      </c>
      <c r="F78" s="12"/>
      <c r="G78" s="12"/>
      <c r="H78" s="12"/>
      <c r="I78" s="12"/>
      <c r="J78" s="12"/>
      <c r="K78" s="19"/>
      <c r="L78" s="12"/>
      <c r="M78" s="11" t="str">
        <f aca="false">IF(L78="","",IFERROR(INDEX(Prioridade_SLA!$B$2:$B$5,MATCH(L78,Prioridade_SLA!$A$2:$A$5,0)),""))</f>
        <v/>
      </c>
      <c r="N78" s="16" t="str">
        <f aca="false">IF(OR(B78="",M78=""),"",B78+M78/24)</f>
        <v/>
      </c>
      <c r="O78" s="12"/>
      <c r="P78" s="12"/>
      <c r="Q78" s="18"/>
      <c r="R78" s="17" t="str">
        <f aca="false">IF(OR(B78="",Q78=""),"",(Q78-B78)*24)</f>
        <v/>
      </c>
      <c r="S78" s="11" t="str">
        <f aca="false">IF(OR(N78="",Q78=""),"",IF(Q78&lt;=N78,"Sim","Não"))</f>
        <v/>
      </c>
      <c r="T78" s="19"/>
      <c r="U78" s="12"/>
      <c r="V78" s="12"/>
    </row>
    <row r="79" customFormat="false" ht="15" hidden="false" customHeight="false" outlineLevel="0" collapsed="false">
      <c r="A79" s="12"/>
      <c r="B79" s="18"/>
      <c r="C79" s="12"/>
      <c r="D79" s="11" t="str">
        <f aca="false">IF(C79="","",IFERROR(INDEX(Unidades!$B$2:$B$218,MATCH(C79,Unidades!$A$2:$A$218,0)),"Código não encontrado"))</f>
        <v/>
      </c>
      <c r="E79" s="11" t="str">
        <f aca="false">IF(C79="","",IFERROR(INDEX(Unidades!$C$2:$C$218,MATCH(C79,Unidades!$A$2:$A$218,0)),""))</f>
        <v/>
      </c>
      <c r="F79" s="12"/>
      <c r="G79" s="12"/>
      <c r="H79" s="12"/>
      <c r="I79" s="12"/>
      <c r="J79" s="12"/>
      <c r="K79" s="19"/>
      <c r="L79" s="12"/>
      <c r="M79" s="11" t="str">
        <f aca="false">IF(L79="","",IFERROR(INDEX(Prioridade_SLA!$B$2:$B$5,MATCH(L79,Prioridade_SLA!$A$2:$A$5,0)),""))</f>
        <v/>
      </c>
      <c r="N79" s="16" t="str">
        <f aca="false">IF(OR(B79="",M79=""),"",B79+M79/24)</f>
        <v/>
      </c>
      <c r="O79" s="12"/>
      <c r="P79" s="12"/>
      <c r="Q79" s="18"/>
      <c r="R79" s="17" t="str">
        <f aca="false">IF(OR(B79="",Q79=""),"",(Q79-B79)*24)</f>
        <v/>
      </c>
      <c r="S79" s="11" t="str">
        <f aca="false">IF(OR(N79="",Q79=""),"",IF(Q79&lt;=N79,"Sim","Não"))</f>
        <v/>
      </c>
      <c r="T79" s="19"/>
      <c r="U79" s="12"/>
      <c r="V79" s="12"/>
    </row>
    <row r="80" customFormat="false" ht="15" hidden="false" customHeight="false" outlineLevel="0" collapsed="false">
      <c r="A80" s="12"/>
      <c r="B80" s="18"/>
      <c r="C80" s="12"/>
      <c r="D80" s="11" t="str">
        <f aca="false">IF(C80="","",IFERROR(INDEX(Unidades!$B$2:$B$218,MATCH(C80,Unidades!$A$2:$A$218,0)),"Código não encontrado"))</f>
        <v/>
      </c>
      <c r="E80" s="11" t="str">
        <f aca="false">IF(C80="","",IFERROR(INDEX(Unidades!$C$2:$C$218,MATCH(C80,Unidades!$A$2:$A$218,0)),""))</f>
        <v/>
      </c>
      <c r="F80" s="12"/>
      <c r="G80" s="12"/>
      <c r="H80" s="12"/>
      <c r="I80" s="12"/>
      <c r="J80" s="12"/>
      <c r="K80" s="19"/>
      <c r="L80" s="12"/>
      <c r="M80" s="11" t="str">
        <f aca="false">IF(L80="","",IFERROR(INDEX(Prioridade_SLA!$B$2:$B$5,MATCH(L80,Prioridade_SLA!$A$2:$A$5,0)),""))</f>
        <v/>
      </c>
      <c r="N80" s="16" t="str">
        <f aca="false">IF(OR(B80="",M80=""),"",B80+M80/24)</f>
        <v/>
      </c>
      <c r="O80" s="12"/>
      <c r="P80" s="12"/>
      <c r="Q80" s="18"/>
      <c r="R80" s="17" t="str">
        <f aca="false">IF(OR(B80="",Q80=""),"",(Q80-B80)*24)</f>
        <v/>
      </c>
      <c r="S80" s="11" t="str">
        <f aca="false">IF(OR(N80="",Q80=""),"",IF(Q80&lt;=N80,"Sim","Não"))</f>
        <v/>
      </c>
      <c r="T80" s="19"/>
      <c r="U80" s="12"/>
      <c r="V80" s="12"/>
    </row>
    <row r="81" customFormat="false" ht="15" hidden="false" customHeight="false" outlineLevel="0" collapsed="false">
      <c r="A81" s="12"/>
      <c r="B81" s="18"/>
      <c r="C81" s="12"/>
      <c r="D81" s="11" t="str">
        <f aca="false">IF(C81="","",IFERROR(INDEX(Unidades!$B$2:$B$218,MATCH(C81,Unidades!$A$2:$A$218,0)),"Código não encontrado"))</f>
        <v/>
      </c>
      <c r="E81" s="11" t="str">
        <f aca="false">IF(C81="","",IFERROR(INDEX(Unidades!$C$2:$C$218,MATCH(C81,Unidades!$A$2:$A$218,0)),""))</f>
        <v/>
      </c>
      <c r="F81" s="12"/>
      <c r="G81" s="12"/>
      <c r="H81" s="12"/>
      <c r="I81" s="12"/>
      <c r="J81" s="12"/>
      <c r="K81" s="19"/>
      <c r="L81" s="12"/>
      <c r="M81" s="11" t="str">
        <f aca="false">IF(L81="","",IFERROR(INDEX(Prioridade_SLA!$B$2:$B$5,MATCH(L81,Prioridade_SLA!$A$2:$A$5,0)),""))</f>
        <v/>
      </c>
      <c r="N81" s="16" t="str">
        <f aca="false">IF(OR(B81="",M81=""),"",B81+M81/24)</f>
        <v/>
      </c>
      <c r="O81" s="12"/>
      <c r="P81" s="12"/>
      <c r="Q81" s="18"/>
      <c r="R81" s="17" t="str">
        <f aca="false">IF(OR(B81="",Q81=""),"",(Q81-B81)*24)</f>
        <v/>
      </c>
      <c r="S81" s="11" t="str">
        <f aca="false">IF(OR(N81="",Q81=""),"",IF(Q81&lt;=N81,"Sim","Não"))</f>
        <v/>
      </c>
      <c r="T81" s="19"/>
      <c r="U81" s="12"/>
      <c r="V81" s="12"/>
    </row>
    <row r="82" customFormat="false" ht="15" hidden="false" customHeight="false" outlineLevel="0" collapsed="false">
      <c r="A82" s="12"/>
      <c r="B82" s="18"/>
      <c r="C82" s="12"/>
      <c r="D82" s="11" t="str">
        <f aca="false">IF(C82="","",IFERROR(INDEX(Unidades!$B$2:$B$218,MATCH(C82,Unidades!$A$2:$A$218,0)),"Código não encontrado"))</f>
        <v/>
      </c>
      <c r="E82" s="11" t="str">
        <f aca="false">IF(C82="","",IFERROR(INDEX(Unidades!$C$2:$C$218,MATCH(C82,Unidades!$A$2:$A$218,0)),""))</f>
        <v/>
      </c>
      <c r="F82" s="12"/>
      <c r="G82" s="12"/>
      <c r="H82" s="12"/>
      <c r="I82" s="12"/>
      <c r="J82" s="12"/>
      <c r="K82" s="19"/>
      <c r="L82" s="12"/>
      <c r="M82" s="11" t="str">
        <f aca="false">IF(L82="","",IFERROR(INDEX(Prioridade_SLA!$B$2:$B$5,MATCH(L82,Prioridade_SLA!$A$2:$A$5,0)),""))</f>
        <v/>
      </c>
      <c r="N82" s="16" t="str">
        <f aca="false">IF(OR(B82="",M82=""),"",B82+M82/24)</f>
        <v/>
      </c>
      <c r="O82" s="12"/>
      <c r="P82" s="12"/>
      <c r="Q82" s="18"/>
      <c r="R82" s="17" t="str">
        <f aca="false">IF(OR(B82="",Q82=""),"",(Q82-B82)*24)</f>
        <v/>
      </c>
      <c r="S82" s="11" t="str">
        <f aca="false">IF(OR(N82="",Q82=""),"",IF(Q82&lt;=N82,"Sim","Não"))</f>
        <v/>
      </c>
      <c r="T82" s="19"/>
      <c r="U82" s="12"/>
      <c r="V82" s="12"/>
    </row>
    <row r="83" customFormat="false" ht="15" hidden="false" customHeight="false" outlineLevel="0" collapsed="false">
      <c r="A83" s="12"/>
      <c r="B83" s="18"/>
      <c r="C83" s="12"/>
      <c r="D83" s="11" t="str">
        <f aca="false">IF(C83="","",IFERROR(INDEX(Unidades!$B$2:$B$218,MATCH(C83,Unidades!$A$2:$A$218,0)),"Código não encontrado"))</f>
        <v/>
      </c>
      <c r="E83" s="11" t="str">
        <f aca="false">IF(C83="","",IFERROR(INDEX(Unidades!$C$2:$C$218,MATCH(C83,Unidades!$A$2:$A$218,0)),""))</f>
        <v/>
      </c>
      <c r="F83" s="12"/>
      <c r="G83" s="12"/>
      <c r="H83" s="12"/>
      <c r="I83" s="12"/>
      <c r="J83" s="12"/>
      <c r="K83" s="19"/>
      <c r="L83" s="12"/>
      <c r="M83" s="11" t="str">
        <f aca="false">IF(L83="","",IFERROR(INDEX(Prioridade_SLA!$B$2:$B$5,MATCH(L83,Prioridade_SLA!$A$2:$A$5,0)),""))</f>
        <v/>
      </c>
      <c r="N83" s="16" t="str">
        <f aca="false">IF(OR(B83="",M83=""),"",B83+M83/24)</f>
        <v/>
      </c>
      <c r="O83" s="12"/>
      <c r="P83" s="12"/>
      <c r="Q83" s="18"/>
      <c r="R83" s="17" t="str">
        <f aca="false">IF(OR(B83="",Q83=""),"",(Q83-B83)*24)</f>
        <v/>
      </c>
      <c r="S83" s="11" t="str">
        <f aca="false">IF(OR(N83="",Q83=""),"",IF(Q83&lt;=N83,"Sim","Não"))</f>
        <v/>
      </c>
      <c r="T83" s="19"/>
      <c r="U83" s="12"/>
      <c r="V83" s="12"/>
    </row>
    <row r="84" customFormat="false" ht="15" hidden="false" customHeight="false" outlineLevel="0" collapsed="false">
      <c r="A84" s="12"/>
      <c r="B84" s="18"/>
      <c r="C84" s="12"/>
      <c r="D84" s="11" t="str">
        <f aca="false">IF(C84="","",IFERROR(INDEX(Unidades!$B$2:$B$218,MATCH(C84,Unidades!$A$2:$A$218,0)),"Código não encontrado"))</f>
        <v/>
      </c>
      <c r="E84" s="11" t="str">
        <f aca="false">IF(C84="","",IFERROR(INDEX(Unidades!$C$2:$C$218,MATCH(C84,Unidades!$A$2:$A$218,0)),""))</f>
        <v/>
      </c>
      <c r="F84" s="12"/>
      <c r="G84" s="12"/>
      <c r="H84" s="12"/>
      <c r="I84" s="12"/>
      <c r="J84" s="12"/>
      <c r="K84" s="19"/>
      <c r="L84" s="12"/>
      <c r="M84" s="11" t="str">
        <f aca="false">IF(L84="","",IFERROR(INDEX(Prioridade_SLA!$B$2:$B$5,MATCH(L84,Prioridade_SLA!$A$2:$A$5,0)),""))</f>
        <v/>
      </c>
      <c r="N84" s="16" t="str">
        <f aca="false">IF(OR(B84="",M84=""),"",B84+M84/24)</f>
        <v/>
      </c>
      <c r="O84" s="12"/>
      <c r="P84" s="12"/>
      <c r="Q84" s="18"/>
      <c r="R84" s="17" t="str">
        <f aca="false">IF(OR(B84="",Q84=""),"",(Q84-B84)*24)</f>
        <v/>
      </c>
      <c r="S84" s="11" t="str">
        <f aca="false">IF(OR(N84="",Q84=""),"",IF(Q84&lt;=N84,"Sim","Não"))</f>
        <v/>
      </c>
      <c r="T84" s="19"/>
      <c r="U84" s="12"/>
      <c r="V84" s="12"/>
    </row>
    <row r="85" customFormat="false" ht="15" hidden="false" customHeight="false" outlineLevel="0" collapsed="false">
      <c r="A85" s="12"/>
      <c r="B85" s="18"/>
      <c r="C85" s="12"/>
      <c r="D85" s="11" t="str">
        <f aca="false">IF(C85="","",IFERROR(INDEX(Unidades!$B$2:$B$218,MATCH(C85,Unidades!$A$2:$A$218,0)),"Código não encontrado"))</f>
        <v/>
      </c>
      <c r="E85" s="11" t="str">
        <f aca="false">IF(C85="","",IFERROR(INDEX(Unidades!$C$2:$C$218,MATCH(C85,Unidades!$A$2:$A$218,0)),""))</f>
        <v/>
      </c>
      <c r="F85" s="12"/>
      <c r="G85" s="12"/>
      <c r="H85" s="12"/>
      <c r="I85" s="12"/>
      <c r="J85" s="12"/>
      <c r="K85" s="19"/>
      <c r="L85" s="12"/>
      <c r="M85" s="11" t="str">
        <f aca="false">IF(L85="","",IFERROR(INDEX(Prioridade_SLA!$B$2:$B$5,MATCH(L85,Prioridade_SLA!$A$2:$A$5,0)),""))</f>
        <v/>
      </c>
      <c r="N85" s="16" t="str">
        <f aca="false">IF(OR(B85="",M85=""),"",B85+M85/24)</f>
        <v/>
      </c>
      <c r="O85" s="12"/>
      <c r="P85" s="12"/>
      <c r="Q85" s="18"/>
      <c r="R85" s="17" t="str">
        <f aca="false">IF(OR(B85="",Q85=""),"",(Q85-B85)*24)</f>
        <v/>
      </c>
      <c r="S85" s="11" t="str">
        <f aca="false">IF(OR(N85="",Q85=""),"",IF(Q85&lt;=N85,"Sim","Não"))</f>
        <v/>
      </c>
      <c r="T85" s="19"/>
      <c r="U85" s="12"/>
      <c r="V85" s="12"/>
    </row>
    <row r="86" customFormat="false" ht="15" hidden="false" customHeight="false" outlineLevel="0" collapsed="false">
      <c r="A86" s="12"/>
      <c r="B86" s="18"/>
      <c r="C86" s="12"/>
      <c r="D86" s="11" t="str">
        <f aca="false">IF(C86="","",IFERROR(INDEX(Unidades!$B$2:$B$218,MATCH(C86,Unidades!$A$2:$A$218,0)),"Código não encontrado"))</f>
        <v/>
      </c>
      <c r="E86" s="11" t="str">
        <f aca="false">IF(C86="","",IFERROR(INDEX(Unidades!$C$2:$C$218,MATCH(C86,Unidades!$A$2:$A$218,0)),""))</f>
        <v/>
      </c>
      <c r="F86" s="12"/>
      <c r="G86" s="12"/>
      <c r="H86" s="12"/>
      <c r="I86" s="12"/>
      <c r="J86" s="12"/>
      <c r="K86" s="19"/>
      <c r="L86" s="12"/>
      <c r="M86" s="11" t="str">
        <f aca="false">IF(L86="","",IFERROR(INDEX(Prioridade_SLA!$B$2:$B$5,MATCH(L86,Prioridade_SLA!$A$2:$A$5,0)),""))</f>
        <v/>
      </c>
      <c r="N86" s="16" t="str">
        <f aca="false">IF(OR(B86="",M86=""),"",B86+M86/24)</f>
        <v/>
      </c>
      <c r="O86" s="12"/>
      <c r="P86" s="12"/>
      <c r="Q86" s="18"/>
      <c r="R86" s="17" t="str">
        <f aca="false">IF(OR(B86="",Q86=""),"",(Q86-B86)*24)</f>
        <v/>
      </c>
      <c r="S86" s="11" t="str">
        <f aca="false">IF(OR(N86="",Q86=""),"",IF(Q86&lt;=N86,"Sim","Não"))</f>
        <v/>
      </c>
      <c r="T86" s="19"/>
      <c r="U86" s="12"/>
      <c r="V86" s="12"/>
    </row>
    <row r="87" customFormat="false" ht="15" hidden="false" customHeight="false" outlineLevel="0" collapsed="false">
      <c r="A87" s="12"/>
      <c r="B87" s="18"/>
      <c r="C87" s="12"/>
      <c r="D87" s="11" t="str">
        <f aca="false">IF(C87="","",IFERROR(INDEX(Unidades!$B$2:$B$218,MATCH(C87,Unidades!$A$2:$A$218,0)),"Código não encontrado"))</f>
        <v/>
      </c>
      <c r="E87" s="11" t="str">
        <f aca="false">IF(C87="","",IFERROR(INDEX(Unidades!$C$2:$C$218,MATCH(C87,Unidades!$A$2:$A$218,0)),""))</f>
        <v/>
      </c>
      <c r="F87" s="12"/>
      <c r="G87" s="12"/>
      <c r="H87" s="12"/>
      <c r="I87" s="12"/>
      <c r="J87" s="12"/>
      <c r="K87" s="19"/>
      <c r="L87" s="12"/>
      <c r="M87" s="11" t="str">
        <f aca="false">IF(L87="","",IFERROR(INDEX(Prioridade_SLA!$B$2:$B$5,MATCH(L87,Prioridade_SLA!$A$2:$A$5,0)),""))</f>
        <v/>
      </c>
      <c r="N87" s="16" t="str">
        <f aca="false">IF(OR(B87="",M87=""),"",B87+M87/24)</f>
        <v/>
      </c>
      <c r="O87" s="12"/>
      <c r="P87" s="12"/>
      <c r="Q87" s="18"/>
      <c r="R87" s="17" t="str">
        <f aca="false">IF(OR(B87="",Q87=""),"",(Q87-B87)*24)</f>
        <v/>
      </c>
      <c r="S87" s="11" t="str">
        <f aca="false">IF(OR(N87="",Q87=""),"",IF(Q87&lt;=N87,"Sim","Não"))</f>
        <v/>
      </c>
      <c r="T87" s="19"/>
      <c r="U87" s="12"/>
      <c r="V87" s="12"/>
    </row>
    <row r="88" customFormat="false" ht="15" hidden="false" customHeight="false" outlineLevel="0" collapsed="false">
      <c r="A88" s="12"/>
      <c r="B88" s="18"/>
      <c r="C88" s="12"/>
      <c r="D88" s="11" t="str">
        <f aca="false">IF(C88="","",IFERROR(INDEX(Unidades!$B$2:$B$218,MATCH(C88,Unidades!$A$2:$A$218,0)),"Código não encontrado"))</f>
        <v/>
      </c>
      <c r="E88" s="11" t="str">
        <f aca="false">IF(C88="","",IFERROR(INDEX(Unidades!$C$2:$C$218,MATCH(C88,Unidades!$A$2:$A$218,0)),""))</f>
        <v/>
      </c>
      <c r="F88" s="12"/>
      <c r="G88" s="12"/>
      <c r="H88" s="12"/>
      <c r="I88" s="12"/>
      <c r="J88" s="12"/>
      <c r="K88" s="19"/>
      <c r="L88" s="12"/>
      <c r="M88" s="11" t="str">
        <f aca="false">IF(L88="","",IFERROR(INDEX(Prioridade_SLA!$B$2:$B$5,MATCH(L88,Prioridade_SLA!$A$2:$A$5,0)),""))</f>
        <v/>
      </c>
      <c r="N88" s="16" t="str">
        <f aca="false">IF(OR(B88="",M88=""),"",B88+M88/24)</f>
        <v/>
      </c>
      <c r="O88" s="12"/>
      <c r="P88" s="12"/>
      <c r="Q88" s="18"/>
      <c r="R88" s="17" t="str">
        <f aca="false">IF(OR(B88="",Q88=""),"",(Q88-B88)*24)</f>
        <v/>
      </c>
      <c r="S88" s="11" t="str">
        <f aca="false">IF(OR(N88="",Q88=""),"",IF(Q88&lt;=N88,"Sim","Não"))</f>
        <v/>
      </c>
      <c r="T88" s="19"/>
      <c r="U88" s="12"/>
      <c r="V88" s="12"/>
    </row>
    <row r="89" customFormat="false" ht="15" hidden="false" customHeight="false" outlineLevel="0" collapsed="false">
      <c r="A89" s="12"/>
      <c r="B89" s="18"/>
      <c r="C89" s="12"/>
      <c r="D89" s="11" t="str">
        <f aca="false">IF(C89="","",IFERROR(INDEX(Unidades!$B$2:$B$218,MATCH(C89,Unidades!$A$2:$A$218,0)),"Código não encontrado"))</f>
        <v/>
      </c>
      <c r="E89" s="11" t="str">
        <f aca="false">IF(C89="","",IFERROR(INDEX(Unidades!$C$2:$C$218,MATCH(C89,Unidades!$A$2:$A$218,0)),""))</f>
        <v/>
      </c>
      <c r="F89" s="12"/>
      <c r="G89" s="12"/>
      <c r="H89" s="12"/>
      <c r="I89" s="12"/>
      <c r="J89" s="12"/>
      <c r="K89" s="19"/>
      <c r="L89" s="12"/>
      <c r="M89" s="11" t="str">
        <f aca="false">IF(L89="","",IFERROR(INDEX(Prioridade_SLA!$B$2:$B$5,MATCH(L89,Prioridade_SLA!$A$2:$A$5,0)),""))</f>
        <v/>
      </c>
      <c r="N89" s="16" t="str">
        <f aca="false">IF(OR(B89="",M89=""),"",B89+M89/24)</f>
        <v/>
      </c>
      <c r="O89" s="12"/>
      <c r="P89" s="12"/>
      <c r="Q89" s="18"/>
      <c r="R89" s="17" t="str">
        <f aca="false">IF(OR(B89="",Q89=""),"",(Q89-B89)*24)</f>
        <v/>
      </c>
      <c r="S89" s="11" t="str">
        <f aca="false">IF(OR(N89="",Q89=""),"",IF(Q89&lt;=N89,"Sim","Não"))</f>
        <v/>
      </c>
      <c r="T89" s="19"/>
      <c r="U89" s="12"/>
      <c r="V89" s="12"/>
    </row>
    <row r="90" customFormat="false" ht="15" hidden="false" customHeight="false" outlineLevel="0" collapsed="false">
      <c r="A90" s="12"/>
      <c r="B90" s="18"/>
      <c r="C90" s="12"/>
      <c r="D90" s="11" t="str">
        <f aca="false">IF(C90="","",IFERROR(INDEX(Unidades!$B$2:$B$218,MATCH(C90,Unidades!$A$2:$A$218,0)),"Código não encontrado"))</f>
        <v/>
      </c>
      <c r="E90" s="11" t="str">
        <f aca="false">IF(C90="","",IFERROR(INDEX(Unidades!$C$2:$C$218,MATCH(C90,Unidades!$A$2:$A$218,0)),""))</f>
        <v/>
      </c>
      <c r="F90" s="12"/>
      <c r="G90" s="12"/>
      <c r="H90" s="12"/>
      <c r="I90" s="12"/>
      <c r="J90" s="12"/>
      <c r="K90" s="19"/>
      <c r="L90" s="12"/>
      <c r="M90" s="11" t="str">
        <f aca="false">IF(L90="","",IFERROR(INDEX(Prioridade_SLA!$B$2:$B$5,MATCH(L90,Prioridade_SLA!$A$2:$A$5,0)),""))</f>
        <v/>
      </c>
      <c r="N90" s="16" t="str">
        <f aca="false">IF(OR(B90="",M90=""),"",B90+M90/24)</f>
        <v/>
      </c>
      <c r="O90" s="12"/>
      <c r="P90" s="12"/>
      <c r="Q90" s="18"/>
      <c r="R90" s="17" t="str">
        <f aca="false">IF(OR(B90="",Q90=""),"",(Q90-B90)*24)</f>
        <v/>
      </c>
      <c r="S90" s="11" t="str">
        <f aca="false">IF(OR(N90="",Q90=""),"",IF(Q90&lt;=N90,"Sim","Não"))</f>
        <v/>
      </c>
      <c r="T90" s="19"/>
      <c r="U90" s="12"/>
      <c r="V90" s="12"/>
    </row>
    <row r="91" customFormat="false" ht="15" hidden="false" customHeight="false" outlineLevel="0" collapsed="false">
      <c r="A91" s="12"/>
      <c r="B91" s="18"/>
      <c r="C91" s="12"/>
      <c r="D91" s="11" t="str">
        <f aca="false">IF(C91="","",IFERROR(INDEX(Unidades!$B$2:$B$218,MATCH(C91,Unidades!$A$2:$A$218,0)),"Código não encontrado"))</f>
        <v/>
      </c>
      <c r="E91" s="11" t="str">
        <f aca="false">IF(C91="","",IFERROR(INDEX(Unidades!$C$2:$C$218,MATCH(C91,Unidades!$A$2:$A$218,0)),""))</f>
        <v/>
      </c>
      <c r="F91" s="12"/>
      <c r="G91" s="12"/>
      <c r="H91" s="12"/>
      <c r="I91" s="12"/>
      <c r="J91" s="12"/>
      <c r="K91" s="19"/>
      <c r="L91" s="12"/>
      <c r="M91" s="11" t="str">
        <f aca="false">IF(L91="","",IFERROR(INDEX(Prioridade_SLA!$B$2:$B$5,MATCH(L91,Prioridade_SLA!$A$2:$A$5,0)),""))</f>
        <v/>
      </c>
      <c r="N91" s="16" t="str">
        <f aca="false">IF(OR(B91="",M91=""),"",B91+M91/24)</f>
        <v/>
      </c>
      <c r="O91" s="12"/>
      <c r="P91" s="12"/>
      <c r="Q91" s="18"/>
      <c r="R91" s="17" t="str">
        <f aca="false">IF(OR(B91="",Q91=""),"",(Q91-B91)*24)</f>
        <v/>
      </c>
      <c r="S91" s="11" t="str">
        <f aca="false">IF(OR(N91="",Q91=""),"",IF(Q91&lt;=N91,"Sim","Não"))</f>
        <v/>
      </c>
      <c r="T91" s="19"/>
      <c r="U91" s="12"/>
      <c r="V91" s="12"/>
    </row>
    <row r="92" customFormat="false" ht="15" hidden="false" customHeight="false" outlineLevel="0" collapsed="false">
      <c r="A92" s="12"/>
      <c r="B92" s="18"/>
      <c r="C92" s="12"/>
      <c r="D92" s="11" t="str">
        <f aca="false">IF(C92="","",IFERROR(INDEX(Unidades!$B$2:$B$218,MATCH(C92,Unidades!$A$2:$A$218,0)),"Código não encontrado"))</f>
        <v/>
      </c>
      <c r="E92" s="11" t="str">
        <f aca="false">IF(C92="","",IFERROR(INDEX(Unidades!$C$2:$C$218,MATCH(C92,Unidades!$A$2:$A$218,0)),""))</f>
        <v/>
      </c>
      <c r="F92" s="12"/>
      <c r="G92" s="12"/>
      <c r="H92" s="12"/>
      <c r="I92" s="12"/>
      <c r="J92" s="12"/>
      <c r="K92" s="19"/>
      <c r="L92" s="12"/>
      <c r="M92" s="11" t="str">
        <f aca="false">IF(L92="","",IFERROR(INDEX(Prioridade_SLA!$B$2:$B$5,MATCH(L92,Prioridade_SLA!$A$2:$A$5,0)),""))</f>
        <v/>
      </c>
      <c r="N92" s="16" t="str">
        <f aca="false">IF(OR(B92="",M92=""),"",B92+M92/24)</f>
        <v/>
      </c>
      <c r="O92" s="12"/>
      <c r="P92" s="12"/>
      <c r="Q92" s="18"/>
      <c r="R92" s="17" t="str">
        <f aca="false">IF(OR(B92="",Q92=""),"",(Q92-B92)*24)</f>
        <v/>
      </c>
      <c r="S92" s="11" t="str">
        <f aca="false">IF(OR(N92="",Q92=""),"",IF(Q92&lt;=N92,"Sim","Não"))</f>
        <v/>
      </c>
      <c r="T92" s="19"/>
      <c r="U92" s="12"/>
      <c r="V92" s="12"/>
    </row>
    <row r="93" customFormat="false" ht="15" hidden="false" customHeight="false" outlineLevel="0" collapsed="false">
      <c r="A93" s="12"/>
      <c r="B93" s="18"/>
      <c r="C93" s="12"/>
      <c r="D93" s="11" t="str">
        <f aca="false">IF(C93="","",IFERROR(INDEX(Unidades!$B$2:$B$218,MATCH(C93,Unidades!$A$2:$A$218,0)),"Código não encontrado"))</f>
        <v/>
      </c>
      <c r="E93" s="11" t="str">
        <f aca="false">IF(C93="","",IFERROR(INDEX(Unidades!$C$2:$C$218,MATCH(C93,Unidades!$A$2:$A$218,0)),""))</f>
        <v/>
      </c>
      <c r="F93" s="12"/>
      <c r="G93" s="12"/>
      <c r="H93" s="12"/>
      <c r="I93" s="12"/>
      <c r="J93" s="12"/>
      <c r="K93" s="19"/>
      <c r="L93" s="12"/>
      <c r="M93" s="11" t="str">
        <f aca="false">IF(L93="","",IFERROR(INDEX(Prioridade_SLA!$B$2:$B$5,MATCH(L93,Prioridade_SLA!$A$2:$A$5,0)),""))</f>
        <v/>
      </c>
      <c r="N93" s="16" t="str">
        <f aca="false">IF(OR(B93="",M93=""),"",B93+M93/24)</f>
        <v/>
      </c>
      <c r="O93" s="12"/>
      <c r="P93" s="12"/>
      <c r="Q93" s="18"/>
      <c r="R93" s="17" t="str">
        <f aca="false">IF(OR(B93="",Q93=""),"",(Q93-B93)*24)</f>
        <v/>
      </c>
      <c r="S93" s="11" t="str">
        <f aca="false">IF(OR(N93="",Q93=""),"",IF(Q93&lt;=N93,"Sim","Não"))</f>
        <v/>
      </c>
      <c r="T93" s="19"/>
      <c r="U93" s="12"/>
      <c r="V93" s="12"/>
    </row>
    <row r="94" customFormat="false" ht="15" hidden="false" customHeight="false" outlineLevel="0" collapsed="false">
      <c r="A94" s="12"/>
      <c r="B94" s="18"/>
      <c r="C94" s="12"/>
      <c r="D94" s="11" t="str">
        <f aca="false">IF(C94="","",IFERROR(INDEX(Unidades!$B$2:$B$218,MATCH(C94,Unidades!$A$2:$A$218,0)),"Código não encontrado"))</f>
        <v/>
      </c>
      <c r="E94" s="11" t="str">
        <f aca="false">IF(C94="","",IFERROR(INDEX(Unidades!$C$2:$C$218,MATCH(C94,Unidades!$A$2:$A$218,0)),""))</f>
        <v/>
      </c>
      <c r="F94" s="12"/>
      <c r="G94" s="12"/>
      <c r="H94" s="12"/>
      <c r="I94" s="12"/>
      <c r="J94" s="12"/>
      <c r="K94" s="19"/>
      <c r="L94" s="12"/>
      <c r="M94" s="11" t="str">
        <f aca="false">IF(L94="","",IFERROR(INDEX(Prioridade_SLA!$B$2:$B$5,MATCH(L94,Prioridade_SLA!$A$2:$A$5,0)),""))</f>
        <v/>
      </c>
      <c r="N94" s="16" t="str">
        <f aca="false">IF(OR(B94="",M94=""),"",B94+M94/24)</f>
        <v/>
      </c>
      <c r="O94" s="12"/>
      <c r="P94" s="12"/>
      <c r="Q94" s="18"/>
      <c r="R94" s="17" t="str">
        <f aca="false">IF(OR(B94="",Q94=""),"",(Q94-B94)*24)</f>
        <v/>
      </c>
      <c r="S94" s="11" t="str">
        <f aca="false">IF(OR(N94="",Q94=""),"",IF(Q94&lt;=N94,"Sim","Não"))</f>
        <v/>
      </c>
      <c r="T94" s="19"/>
      <c r="U94" s="12"/>
      <c r="V94" s="12"/>
    </row>
    <row r="95" customFormat="false" ht="15" hidden="false" customHeight="false" outlineLevel="0" collapsed="false">
      <c r="A95" s="12"/>
      <c r="B95" s="18"/>
      <c r="C95" s="12"/>
      <c r="D95" s="11" t="str">
        <f aca="false">IF(C95="","",IFERROR(INDEX(Unidades!$B$2:$B$218,MATCH(C95,Unidades!$A$2:$A$218,0)),"Código não encontrado"))</f>
        <v/>
      </c>
      <c r="E95" s="11" t="str">
        <f aca="false">IF(C95="","",IFERROR(INDEX(Unidades!$C$2:$C$218,MATCH(C95,Unidades!$A$2:$A$218,0)),""))</f>
        <v/>
      </c>
      <c r="F95" s="12"/>
      <c r="G95" s="12"/>
      <c r="H95" s="12"/>
      <c r="I95" s="12"/>
      <c r="J95" s="12"/>
      <c r="K95" s="19"/>
      <c r="L95" s="12"/>
      <c r="M95" s="11" t="str">
        <f aca="false">IF(L95="","",IFERROR(INDEX(Prioridade_SLA!$B$2:$B$5,MATCH(L95,Prioridade_SLA!$A$2:$A$5,0)),""))</f>
        <v/>
      </c>
      <c r="N95" s="16" t="str">
        <f aca="false">IF(OR(B95="",M95=""),"",B95+M95/24)</f>
        <v/>
      </c>
      <c r="O95" s="12"/>
      <c r="P95" s="12"/>
      <c r="Q95" s="18"/>
      <c r="R95" s="17" t="str">
        <f aca="false">IF(OR(B95="",Q95=""),"",(Q95-B95)*24)</f>
        <v/>
      </c>
      <c r="S95" s="11" t="str">
        <f aca="false">IF(OR(N95="",Q95=""),"",IF(Q95&lt;=N95,"Sim","Não"))</f>
        <v/>
      </c>
      <c r="T95" s="19"/>
      <c r="U95" s="12"/>
      <c r="V95" s="12"/>
    </row>
    <row r="96" customFormat="false" ht="15" hidden="false" customHeight="false" outlineLevel="0" collapsed="false">
      <c r="A96" s="12"/>
      <c r="B96" s="18"/>
      <c r="C96" s="12"/>
      <c r="D96" s="11" t="str">
        <f aca="false">IF(C96="","",IFERROR(INDEX(Unidades!$B$2:$B$218,MATCH(C96,Unidades!$A$2:$A$218,0)),"Código não encontrado"))</f>
        <v/>
      </c>
      <c r="E96" s="11" t="str">
        <f aca="false">IF(C96="","",IFERROR(INDEX(Unidades!$C$2:$C$218,MATCH(C96,Unidades!$A$2:$A$218,0)),""))</f>
        <v/>
      </c>
      <c r="F96" s="12"/>
      <c r="G96" s="12"/>
      <c r="H96" s="12"/>
      <c r="I96" s="12"/>
      <c r="J96" s="12"/>
      <c r="K96" s="19"/>
      <c r="L96" s="12"/>
      <c r="M96" s="11" t="str">
        <f aca="false">IF(L96="","",IFERROR(INDEX(Prioridade_SLA!$B$2:$B$5,MATCH(L96,Prioridade_SLA!$A$2:$A$5,0)),""))</f>
        <v/>
      </c>
      <c r="N96" s="16" t="str">
        <f aca="false">IF(OR(B96="",M96=""),"",B96+M96/24)</f>
        <v/>
      </c>
      <c r="O96" s="12"/>
      <c r="P96" s="12"/>
      <c r="Q96" s="18"/>
      <c r="R96" s="17" t="str">
        <f aca="false">IF(OR(B96="",Q96=""),"",(Q96-B96)*24)</f>
        <v/>
      </c>
      <c r="S96" s="11" t="str">
        <f aca="false">IF(OR(N96="",Q96=""),"",IF(Q96&lt;=N96,"Sim","Não"))</f>
        <v/>
      </c>
      <c r="T96" s="19"/>
      <c r="U96" s="12"/>
      <c r="V96" s="12"/>
    </row>
    <row r="97" customFormat="false" ht="15" hidden="false" customHeight="false" outlineLevel="0" collapsed="false">
      <c r="A97" s="12"/>
      <c r="B97" s="18"/>
      <c r="C97" s="12"/>
      <c r="D97" s="11" t="str">
        <f aca="false">IF(C97="","",IFERROR(INDEX(Unidades!$B$2:$B$218,MATCH(C97,Unidades!$A$2:$A$218,0)),"Código não encontrado"))</f>
        <v/>
      </c>
      <c r="E97" s="11" t="str">
        <f aca="false">IF(C97="","",IFERROR(INDEX(Unidades!$C$2:$C$218,MATCH(C97,Unidades!$A$2:$A$218,0)),""))</f>
        <v/>
      </c>
      <c r="F97" s="12"/>
      <c r="G97" s="12"/>
      <c r="H97" s="12"/>
      <c r="I97" s="12"/>
      <c r="J97" s="12"/>
      <c r="K97" s="19"/>
      <c r="L97" s="12"/>
      <c r="M97" s="11" t="str">
        <f aca="false">IF(L97="","",IFERROR(INDEX(Prioridade_SLA!$B$2:$B$5,MATCH(L97,Prioridade_SLA!$A$2:$A$5,0)),""))</f>
        <v/>
      </c>
      <c r="N97" s="16" t="str">
        <f aca="false">IF(OR(B97="",M97=""),"",B97+M97/24)</f>
        <v/>
      </c>
      <c r="O97" s="12"/>
      <c r="P97" s="12"/>
      <c r="Q97" s="18"/>
      <c r="R97" s="17" t="str">
        <f aca="false">IF(OR(B97="",Q97=""),"",(Q97-B97)*24)</f>
        <v/>
      </c>
      <c r="S97" s="11" t="str">
        <f aca="false">IF(OR(N97="",Q97=""),"",IF(Q97&lt;=N97,"Sim","Não"))</f>
        <v/>
      </c>
      <c r="T97" s="19"/>
      <c r="U97" s="12"/>
      <c r="V97" s="12"/>
    </row>
    <row r="98" customFormat="false" ht="15" hidden="false" customHeight="false" outlineLevel="0" collapsed="false">
      <c r="A98" s="12"/>
      <c r="B98" s="18"/>
      <c r="C98" s="12"/>
      <c r="D98" s="11" t="str">
        <f aca="false">IF(C98="","",IFERROR(INDEX(Unidades!$B$2:$B$218,MATCH(C98,Unidades!$A$2:$A$218,0)),"Código não encontrado"))</f>
        <v/>
      </c>
      <c r="E98" s="11" t="str">
        <f aca="false">IF(C98="","",IFERROR(INDEX(Unidades!$C$2:$C$218,MATCH(C98,Unidades!$A$2:$A$218,0)),""))</f>
        <v/>
      </c>
      <c r="F98" s="12"/>
      <c r="G98" s="12"/>
      <c r="H98" s="12"/>
      <c r="I98" s="12"/>
      <c r="J98" s="12"/>
      <c r="K98" s="19"/>
      <c r="L98" s="12"/>
      <c r="M98" s="11" t="str">
        <f aca="false">IF(L98="","",IFERROR(INDEX(Prioridade_SLA!$B$2:$B$5,MATCH(L98,Prioridade_SLA!$A$2:$A$5,0)),""))</f>
        <v/>
      </c>
      <c r="N98" s="16" t="str">
        <f aca="false">IF(OR(B98="",M98=""),"",B98+M98/24)</f>
        <v/>
      </c>
      <c r="O98" s="12"/>
      <c r="P98" s="12"/>
      <c r="Q98" s="18"/>
      <c r="R98" s="17" t="str">
        <f aca="false">IF(OR(B98="",Q98=""),"",(Q98-B98)*24)</f>
        <v/>
      </c>
      <c r="S98" s="11" t="str">
        <f aca="false">IF(OR(N98="",Q98=""),"",IF(Q98&lt;=N98,"Sim","Não"))</f>
        <v/>
      </c>
      <c r="T98" s="19"/>
      <c r="U98" s="12"/>
      <c r="V98" s="12"/>
    </row>
    <row r="99" customFormat="false" ht="15" hidden="false" customHeight="false" outlineLevel="0" collapsed="false">
      <c r="A99" s="12"/>
      <c r="B99" s="18"/>
      <c r="C99" s="12"/>
      <c r="D99" s="11" t="str">
        <f aca="false">IF(C99="","",IFERROR(INDEX(Unidades!$B$2:$B$218,MATCH(C99,Unidades!$A$2:$A$218,0)),"Código não encontrado"))</f>
        <v/>
      </c>
      <c r="E99" s="11" t="str">
        <f aca="false">IF(C99="","",IFERROR(INDEX(Unidades!$C$2:$C$218,MATCH(C99,Unidades!$A$2:$A$218,0)),""))</f>
        <v/>
      </c>
      <c r="F99" s="12"/>
      <c r="G99" s="12"/>
      <c r="H99" s="12"/>
      <c r="I99" s="12"/>
      <c r="J99" s="12"/>
      <c r="K99" s="19"/>
      <c r="L99" s="12"/>
      <c r="M99" s="11" t="str">
        <f aca="false">IF(L99="","",IFERROR(INDEX(Prioridade_SLA!$B$2:$B$5,MATCH(L99,Prioridade_SLA!$A$2:$A$5,0)),""))</f>
        <v/>
      </c>
      <c r="N99" s="16" t="str">
        <f aca="false">IF(OR(B99="",M99=""),"",B99+M99/24)</f>
        <v/>
      </c>
      <c r="O99" s="12"/>
      <c r="P99" s="12"/>
      <c r="Q99" s="18"/>
      <c r="R99" s="17" t="str">
        <f aca="false">IF(OR(B99="",Q99=""),"",(Q99-B99)*24)</f>
        <v/>
      </c>
      <c r="S99" s="11" t="str">
        <f aca="false">IF(OR(N99="",Q99=""),"",IF(Q99&lt;=N99,"Sim","Não"))</f>
        <v/>
      </c>
      <c r="T99" s="19"/>
      <c r="U99" s="12"/>
      <c r="V99" s="12"/>
    </row>
    <row r="100" customFormat="false" ht="15" hidden="false" customHeight="false" outlineLevel="0" collapsed="false">
      <c r="A100" s="12"/>
      <c r="B100" s="18"/>
      <c r="C100" s="12"/>
      <c r="D100" s="11" t="str">
        <f aca="false">IF(C100="","",IFERROR(INDEX(Unidades!$B$2:$B$218,MATCH(C100,Unidades!$A$2:$A$218,0)),"Código não encontrado"))</f>
        <v/>
      </c>
      <c r="E100" s="11" t="str">
        <f aca="false">IF(C100="","",IFERROR(INDEX(Unidades!$C$2:$C$218,MATCH(C100,Unidades!$A$2:$A$218,0)),""))</f>
        <v/>
      </c>
      <c r="F100" s="12"/>
      <c r="G100" s="12"/>
      <c r="H100" s="12"/>
      <c r="I100" s="12"/>
      <c r="J100" s="12"/>
      <c r="K100" s="19"/>
      <c r="L100" s="12"/>
      <c r="M100" s="11" t="str">
        <f aca="false">IF(L100="","",IFERROR(INDEX(Prioridade_SLA!$B$2:$B$5,MATCH(L100,Prioridade_SLA!$A$2:$A$5,0)),""))</f>
        <v/>
      </c>
      <c r="N100" s="16" t="str">
        <f aca="false">IF(OR(B100="",M100=""),"",B100+M100/24)</f>
        <v/>
      </c>
      <c r="O100" s="12"/>
      <c r="P100" s="12"/>
      <c r="Q100" s="18"/>
      <c r="R100" s="17" t="str">
        <f aca="false">IF(OR(B100="",Q100=""),"",(Q100-B100)*24)</f>
        <v/>
      </c>
      <c r="S100" s="11" t="str">
        <f aca="false">IF(OR(N100="",Q100=""),"",IF(Q100&lt;=N100,"Sim","Não"))</f>
        <v/>
      </c>
      <c r="T100" s="19"/>
      <c r="U100" s="12"/>
      <c r="V100" s="12"/>
    </row>
    <row r="101" customFormat="false" ht="15" hidden="false" customHeight="false" outlineLevel="0" collapsed="false">
      <c r="A101" s="12"/>
      <c r="B101" s="18"/>
      <c r="C101" s="12"/>
      <c r="D101" s="11" t="str">
        <f aca="false">IF(C101="","",IFERROR(INDEX(Unidades!$B$2:$B$218,MATCH(C101,Unidades!$A$2:$A$218,0)),"Código não encontrado"))</f>
        <v/>
      </c>
      <c r="E101" s="11" t="str">
        <f aca="false">IF(C101="","",IFERROR(INDEX(Unidades!$C$2:$C$218,MATCH(C101,Unidades!$A$2:$A$218,0)),""))</f>
        <v/>
      </c>
      <c r="F101" s="12"/>
      <c r="G101" s="12"/>
      <c r="H101" s="12"/>
      <c r="I101" s="12"/>
      <c r="J101" s="12"/>
      <c r="K101" s="19"/>
      <c r="L101" s="12"/>
      <c r="M101" s="11" t="str">
        <f aca="false">IF(L101="","",IFERROR(INDEX(Prioridade_SLA!$B$2:$B$5,MATCH(L101,Prioridade_SLA!$A$2:$A$5,0)),""))</f>
        <v/>
      </c>
      <c r="N101" s="16" t="str">
        <f aca="false">IF(OR(B101="",M101=""),"",B101+M101/24)</f>
        <v/>
      </c>
      <c r="O101" s="12"/>
      <c r="P101" s="12"/>
      <c r="Q101" s="18"/>
      <c r="R101" s="17" t="str">
        <f aca="false">IF(OR(B101="",Q101=""),"",(Q101-B101)*24)</f>
        <v/>
      </c>
      <c r="S101" s="11" t="str">
        <f aca="false">IF(OR(N101="",Q101=""),"",IF(Q101&lt;=N101,"Sim","Não"))</f>
        <v/>
      </c>
      <c r="T101" s="19"/>
      <c r="U101" s="12"/>
      <c r="V101" s="12"/>
    </row>
    <row r="102" customFormat="false" ht="15" hidden="false" customHeight="false" outlineLevel="0" collapsed="false">
      <c r="A102" s="12"/>
      <c r="B102" s="18"/>
      <c r="C102" s="12"/>
      <c r="D102" s="11" t="str">
        <f aca="false">IF(C102="","",IFERROR(INDEX(Unidades!$B$2:$B$218,MATCH(C102,Unidades!$A$2:$A$218,0)),"Código não encontrado"))</f>
        <v/>
      </c>
      <c r="E102" s="11" t="str">
        <f aca="false">IF(C102="","",IFERROR(INDEX(Unidades!$C$2:$C$218,MATCH(C102,Unidades!$A$2:$A$218,0)),""))</f>
        <v/>
      </c>
      <c r="F102" s="12"/>
      <c r="G102" s="12"/>
      <c r="H102" s="12"/>
      <c r="I102" s="12"/>
      <c r="J102" s="12"/>
      <c r="K102" s="19"/>
      <c r="L102" s="12"/>
      <c r="M102" s="11" t="str">
        <f aca="false">IF(L102="","",IFERROR(INDEX(Prioridade_SLA!$B$2:$B$5,MATCH(L102,Prioridade_SLA!$A$2:$A$5,0)),""))</f>
        <v/>
      </c>
      <c r="N102" s="16" t="str">
        <f aca="false">IF(OR(B102="",M102=""),"",B102+M102/24)</f>
        <v/>
      </c>
      <c r="O102" s="12"/>
      <c r="P102" s="12"/>
      <c r="Q102" s="18"/>
      <c r="R102" s="17" t="str">
        <f aca="false">IF(OR(B102="",Q102=""),"",(Q102-B102)*24)</f>
        <v/>
      </c>
      <c r="S102" s="11" t="str">
        <f aca="false">IF(OR(N102="",Q102=""),"",IF(Q102&lt;=N102,"Sim","Não"))</f>
        <v/>
      </c>
      <c r="T102" s="19"/>
      <c r="U102" s="12"/>
      <c r="V102" s="12"/>
    </row>
    <row r="103" customFormat="false" ht="15" hidden="false" customHeight="false" outlineLevel="0" collapsed="false">
      <c r="A103" s="12"/>
      <c r="B103" s="18"/>
      <c r="C103" s="12"/>
      <c r="D103" s="11" t="str">
        <f aca="false">IF(C103="","",IFERROR(INDEX(Unidades!$B$2:$B$218,MATCH(C103,Unidades!$A$2:$A$218,0)),"Código não encontrado"))</f>
        <v/>
      </c>
      <c r="E103" s="11" t="str">
        <f aca="false">IF(C103="","",IFERROR(INDEX(Unidades!$C$2:$C$218,MATCH(C103,Unidades!$A$2:$A$218,0)),""))</f>
        <v/>
      </c>
      <c r="F103" s="12"/>
      <c r="G103" s="12"/>
      <c r="H103" s="12"/>
      <c r="I103" s="12"/>
      <c r="J103" s="12"/>
      <c r="K103" s="19"/>
      <c r="L103" s="12"/>
      <c r="M103" s="11" t="str">
        <f aca="false">IF(L103="","",IFERROR(INDEX(Prioridade_SLA!$B$2:$B$5,MATCH(L103,Prioridade_SLA!$A$2:$A$5,0)),""))</f>
        <v/>
      </c>
      <c r="N103" s="16" t="str">
        <f aca="false">IF(OR(B103="",M103=""),"",B103+M103/24)</f>
        <v/>
      </c>
      <c r="O103" s="12"/>
      <c r="P103" s="12"/>
      <c r="Q103" s="18"/>
      <c r="R103" s="17" t="str">
        <f aca="false">IF(OR(B103="",Q103=""),"",(Q103-B103)*24)</f>
        <v/>
      </c>
      <c r="S103" s="11" t="str">
        <f aca="false">IF(OR(N103="",Q103=""),"",IF(Q103&lt;=N103,"Sim","Não"))</f>
        <v/>
      </c>
      <c r="T103" s="19"/>
      <c r="U103" s="12"/>
      <c r="V103" s="12"/>
    </row>
    <row r="104" customFormat="false" ht="15" hidden="false" customHeight="false" outlineLevel="0" collapsed="false">
      <c r="A104" s="12"/>
      <c r="B104" s="18"/>
      <c r="C104" s="12"/>
      <c r="D104" s="11" t="str">
        <f aca="false">IF(C104="","",IFERROR(INDEX(Unidades!$B$2:$B$218,MATCH(C104,Unidades!$A$2:$A$218,0)),"Código não encontrado"))</f>
        <v/>
      </c>
      <c r="E104" s="11" t="str">
        <f aca="false">IF(C104="","",IFERROR(INDEX(Unidades!$C$2:$C$218,MATCH(C104,Unidades!$A$2:$A$218,0)),""))</f>
        <v/>
      </c>
      <c r="F104" s="12"/>
      <c r="G104" s="12"/>
      <c r="H104" s="12"/>
      <c r="I104" s="12"/>
      <c r="J104" s="12"/>
      <c r="K104" s="19"/>
      <c r="L104" s="12"/>
      <c r="M104" s="11" t="str">
        <f aca="false">IF(L104="","",IFERROR(INDEX(Prioridade_SLA!$B$2:$B$5,MATCH(L104,Prioridade_SLA!$A$2:$A$5,0)),""))</f>
        <v/>
      </c>
      <c r="N104" s="16" t="str">
        <f aca="false">IF(OR(B104="",M104=""),"",B104+M104/24)</f>
        <v/>
      </c>
      <c r="O104" s="12"/>
      <c r="P104" s="12"/>
      <c r="Q104" s="18"/>
      <c r="R104" s="17" t="str">
        <f aca="false">IF(OR(B104="",Q104=""),"",(Q104-B104)*24)</f>
        <v/>
      </c>
      <c r="S104" s="11" t="str">
        <f aca="false">IF(OR(N104="",Q104=""),"",IF(Q104&lt;=N104,"Sim","Não"))</f>
        <v/>
      </c>
      <c r="T104" s="19"/>
      <c r="U104" s="12"/>
      <c r="V104" s="12"/>
    </row>
    <row r="105" customFormat="false" ht="15" hidden="false" customHeight="false" outlineLevel="0" collapsed="false">
      <c r="A105" s="12"/>
      <c r="B105" s="18"/>
      <c r="C105" s="12"/>
      <c r="D105" s="11" t="str">
        <f aca="false">IF(C105="","",IFERROR(INDEX(Unidades!$B$2:$B$218,MATCH(C105,Unidades!$A$2:$A$218,0)),"Código não encontrado"))</f>
        <v/>
      </c>
      <c r="E105" s="11" t="str">
        <f aca="false">IF(C105="","",IFERROR(INDEX(Unidades!$C$2:$C$218,MATCH(C105,Unidades!$A$2:$A$218,0)),""))</f>
        <v/>
      </c>
      <c r="F105" s="12"/>
      <c r="G105" s="12"/>
      <c r="H105" s="12"/>
      <c r="I105" s="12"/>
      <c r="J105" s="12"/>
      <c r="K105" s="19"/>
      <c r="L105" s="12"/>
      <c r="M105" s="11" t="str">
        <f aca="false">IF(L105="","",IFERROR(INDEX(Prioridade_SLA!$B$2:$B$5,MATCH(L105,Prioridade_SLA!$A$2:$A$5,0)),""))</f>
        <v/>
      </c>
      <c r="N105" s="16" t="str">
        <f aca="false">IF(OR(B105="",M105=""),"",B105+M105/24)</f>
        <v/>
      </c>
      <c r="O105" s="12"/>
      <c r="P105" s="12"/>
      <c r="Q105" s="18"/>
      <c r="R105" s="17" t="str">
        <f aca="false">IF(OR(B105="",Q105=""),"",(Q105-B105)*24)</f>
        <v/>
      </c>
      <c r="S105" s="11" t="str">
        <f aca="false">IF(OR(N105="",Q105=""),"",IF(Q105&lt;=N105,"Sim","Não"))</f>
        <v/>
      </c>
      <c r="T105" s="19"/>
      <c r="U105" s="12"/>
      <c r="V105" s="12"/>
    </row>
    <row r="106" customFormat="false" ht="15" hidden="false" customHeight="false" outlineLevel="0" collapsed="false">
      <c r="A106" s="12"/>
      <c r="B106" s="18"/>
      <c r="C106" s="12"/>
      <c r="D106" s="11" t="str">
        <f aca="false">IF(C106="","",IFERROR(INDEX(Unidades!$B$2:$B$218,MATCH(C106,Unidades!$A$2:$A$218,0)),"Código não encontrado"))</f>
        <v/>
      </c>
      <c r="E106" s="11" t="str">
        <f aca="false">IF(C106="","",IFERROR(INDEX(Unidades!$C$2:$C$218,MATCH(C106,Unidades!$A$2:$A$218,0)),""))</f>
        <v/>
      </c>
      <c r="F106" s="12"/>
      <c r="G106" s="12"/>
      <c r="H106" s="12"/>
      <c r="I106" s="12"/>
      <c r="J106" s="12"/>
      <c r="K106" s="19"/>
      <c r="L106" s="12"/>
      <c r="M106" s="11" t="str">
        <f aca="false">IF(L106="","",IFERROR(INDEX(Prioridade_SLA!$B$2:$B$5,MATCH(L106,Prioridade_SLA!$A$2:$A$5,0)),""))</f>
        <v/>
      </c>
      <c r="N106" s="16" t="str">
        <f aca="false">IF(OR(B106="",M106=""),"",B106+M106/24)</f>
        <v/>
      </c>
      <c r="O106" s="12"/>
      <c r="P106" s="12"/>
      <c r="Q106" s="18"/>
      <c r="R106" s="17" t="str">
        <f aca="false">IF(OR(B106="",Q106=""),"",(Q106-B106)*24)</f>
        <v/>
      </c>
      <c r="S106" s="11" t="str">
        <f aca="false">IF(OR(N106="",Q106=""),"",IF(Q106&lt;=N106,"Sim","Não"))</f>
        <v/>
      </c>
      <c r="T106" s="19"/>
      <c r="U106" s="12"/>
      <c r="V106" s="12"/>
    </row>
    <row r="107" customFormat="false" ht="15" hidden="false" customHeight="false" outlineLevel="0" collapsed="false">
      <c r="A107" s="12"/>
      <c r="B107" s="18"/>
      <c r="C107" s="12"/>
      <c r="D107" s="11" t="str">
        <f aca="false">IF(C107="","",IFERROR(INDEX(Unidades!$B$2:$B$218,MATCH(C107,Unidades!$A$2:$A$218,0)),"Código não encontrado"))</f>
        <v/>
      </c>
      <c r="E107" s="11" t="str">
        <f aca="false">IF(C107="","",IFERROR(INDEX(Unidades!$C$2:$C$218,MATCH(C107,Unidades!$A$2:$A$218,0)),""))</f>
        <v/>
      </c>
      <c r="F107" s="12"/>
      <c r="G107" s="12"/>
      <c r="H107" s="12"/>
      <c r="I107" s="12"/>
      <c r="J107" s="12"/>
      <c r="K107" s="19"/>
      <c r="L107" s="12"/>
      <c r="M107" s="11" t="str">
        <f aca="false">IF(L107="","",IFERROR(INDEX(Prioridade_SLA!$B$2:$B$5,MATCH(L107,Prioridade_SLA!$A$2:$A$5,0)),""))</f>
        <v/>
      </c>
      <c r="N107" s="16" t="str">
        <f aca="false">IF(OR(B107="",M107=""),"",B107+M107/24)</f>
        <v/>
      </c>
      <c r="O107" s="12"/>
      <c r="P107" s="12"/>
      <c r="Q107" s="18"/>
      <c r="R107" s="17" t="str">
        <f aca="false">IF(OR(B107="",Q107=""),"",(Q107-B107)*24)</f>
        <v/>
      </c>
      <c r="S107" s="11" t="str">
        <f aca="false">IF(OR(N107="",Q107=""),"",IF(Q107&lt;=N107,"Sim","Não"))</f>
        <v/>
      </c>
      <c r="T107" s="19"/>
      <c r="U107" s="12"/>
      <c r="V107" s="12"/>
    </row>
    <row r="108" customFormat="false" ht="15" hidden="false" customHeight="false" outlineLevel="0" collapsed="false">
      <c r="A108" s="12"/>
      <c r="B108" s="18"/>
      <c r="C108" s="12"/>
      <c r="D108" s="11" t="str">
        <f aca="false">IF(C108="","",IFERROR(INDEX(Unidades!$B$2:$B$218,MATCH(C108,Unidades!$A$2:$A$218,0)),"Código não encontrado"))</f>
        <v/>
      </c>
      <c r="E108" s="11" t="str">
        <f aca="false">IF(C108="","",IFERROR(INDEX(Unidades!$C$2:$C$218,MATCH(C108,Unidades!$A$2:$A$218,0)),""))</f>
        <v/>
      </c>
      <c r="F108" s="12"/>
      <c r="G108" s="12"/>
      <c r="H108" s="12"/>
      <c r="I108" s="12"/>
      <c r="J108" s="12"/>
      <c r="K108" s="19"/>
      <c r="L108" s="12"/>
      <c r="M108" s="11" t="str">
        <f aca="false">IF(L108="","",IFERROR(INDEX(Prioridade_SLA!$B$2:$B$5,MATCH(L108,Prioridade_SLA!$A$2:$A$5,0)),""))</f>
        <v/>
      </c>
      <c r="N108" s="16" t="str">
        <f aca="false">IF(OR(B108="",M108=""),"",B108+M108/24)</f>
        <v/>
      </c>
      <c r="O108" s="12"/>
      <c r="P108" s="12"/>
      <c r="Q108" s="18"/>
      <c r="R108" s="17" t="str">
        <f aca="false">IF(OR(B108="",Q108=""),"",(Q108-B108)*24)</f>
        <v/>
      </c>
      <c r="S108" s="11" t="str">
        <f aca="false">IF(OR(N108="",Q108=""),"",IF(Q108&lt;=N108,"Sim","Não"))</f>
        <v/>
      </c>
      <c r="T108" s="19"/>
      <c r="U108" s="12"/>
      <c r="V108" s="12"/>
    </row>
    <row r="109" customFormat="false" ht="15" hidden="false" customHeight="false" outlineLevel="0" collapsed="false">
      <c r="A109" s="12"/>
      <c r="B109" s="18"/>
      <c r="C109" s="12"/>
      <c r="D109" s="11" t="str">
        <f aca="false">IF(C109="","",IFERROR(INDEX(Unidades!$B$2:$B$218,MATCH(C109,Unidades!$A$2:$A$218,0)),"Código não encontrado"))</f>
        <v/>
      </c>
      <c r="E109" s="11" t="str">
        <f aca="false">IF(C109="","",IFERROR(INDEX(Unidades!$C$2:$C$218,MATCH(C109,Unidades!$A$2:$A$218,0)),""))</f>
        <v/>
      </c>
      <c r="F109" s="12"/>
      <c r="G109" s="12"/>
      <c r="H109" s="12"/>
      <c r="I109" s="12"/>
      <c r="J109" s="12"/>
      <c r="K109" s="19"/>
      <c r="L109" s="12"/>
      <c r="M109" s="11" t="str">
        <f aca="false">IF(L109="","",IFERROR(INDEX(Prioridade_SLA!$B$2:$B$5,MATCH(L109,Prioridade_SLA!$A$2:$A$5,0)),""))</f>
        <v/>
      </c>
      <c r="N109" s="16" t="str">
        <f aca="false">IF(OR(B109="",M109=""),"",B109+M109/24)</f>
        <v/>
      </c>
      <c r="O109" s="12"/>
      <c r="P109" s="12"/>
      <c r="Q109" s="18"/>
      <c r="R109" s="17" t="str">
        <f aca="false">IF(OR(B109="",Q109=""),"",(Q109-B109)*24)</f>
        <v/>
      </c>
      <c r="S109" s="11" t="str">
        <f aca="false">IF(OR(N109="",Q109=""),"",IF(Q109&lt;=N109,"Sim","Não"))</f>
        <v/>
      </c>
      <c r="T109" s="19"/>
      <c r="U109" s="12"/>
      <c r="V109" s="12"/>
    </row>
    <row r="110" customFormat="false" ht="15" hidden="false" customHeight="false" outlineLevel="0" collapsed="false">
      <c r="A110" s="12"/>
      <c r="B110" s="18"/>
      <c r="C110" s="12"/>
      <c r="D110" s="11" t="str">
        <f aca="false">IF(C110="","",IFERROR(INDEX(Unidades!$B$2:$B$218,MATCH(C110,Unidades!$A$2:$A$218,0)),"Código não encontrado"))</f>
        <v/>
      </c>
      <c r="E110" s="11" t="str">
        <f aca="false">IF(C110="","",IFERROR(INDEX(Unidades!$C$2:$C$218,MATCH(C110,Unidades!$A$2:$A$218,0)),""))</f>
        <v/>
      </c>
      <c r="F110" s="12"/>
      <c r="G110" s="12"/>
      <c r="H110" s="12"/>
      <c r="I110" s="12"/>
      <c r="J110" s="12"/>
      <c r="K110" s="19"/>
      <c r="L110" s="12"/>
      <c r="M110" s="11" t="str">
        <f aca="false">IF(L110="","",IFERROR(INDEX(Prioridade_SLA!$B$2:$B$5,MATCH(L110,Prioridade_SLA!$A$2:$A$5,0)),""))</f>
        <v/>
      </c>
      <c r="N110" s="16" t="str">
        <f aca="false">IF(OR(B110="",M110=""),"",B110+M110/24)</f>
        <v/>
      </c>
      <c r="O110" s="12"/>
      <c r="P110" s="12"/>
      <c r="Q110" s="18"/>
      <c r="R110" s="17" t="str">
        <f aca="false">IF(OR(B110="",Q110=""),"",(Q110-B110)*24)</f>
        <v/>
      </c>
      <c r="S110" s="11" t="str">
        <f aca="false">IF(OR(N110="",Q110=""),"",IF(Q110&lt;=N110,"Sim","Não"))</f>
        <v/>
      </c>
      <c r="T110" s="19"/>
      <c r="U110" s="12"/>
      <c r="V110" s="12"/>
    </row>
    <row r="111" customFormat="false" ht="15" hidden="false" customHeight="false" outlineLevel="0" collapsed="false">
      <c r="A111" s="12"/>
      <c r="B111" s="18"/>
      <c r="C111" s="12"/>
      <c r="D111" s="11" t="str">
        <f aca="false">IF(C111="","",IFERROR(INDEX(Unidades!$B$2:$B$218,MATCH(C111,Unidades!$A$2:$A$218,0)),"Código não encontrado"))</f>
        <v/>
      </c>
      <c r="E111" s="11" t="str">
        <f aca="false">IF(C111="","",IFERROR(INDEX(Unidades!$C$2:$C$218,MATCH(C111,Unidades!$A$2:$A$218,0)),""))</f>
        <v/>
      </c>
      <c r="F111" s="12"/>
      <c r="G111" s="12"/>
      <c r="H111" s="12"/>
      <c r="I111" s="12"/>
      <c r="J111" s="12"/>
      <c r="K111" s="19"/>
      <c r="L111" s="12"/>
      <c r="M111" s="11" t="str">
        <f aca="false">IF(L111="","",IFERROR(INDEX(Prioridade_SLA!$B$2:$B$5,MATCH(L111,Prioridade_SLA!$A$2:$A$5,0)),""))</f>
        <v/>
      </c>
      <c r="N111" s="16" t="str">
        <f aca="false">IF(OR(B111="",M111=""),"",B111+M111/24)</f>
        <v/>
      </c>
      <c r="O111" s="12"/>
      <c r="P111" s="12"/>
      <c r="Q111" s="18"/>
      <c r="R111" s="17" t="str">
        <f aca="false">IF(OR(B111="",Q111=""),"",(Q111-B111)*24)</f>
        <v/>
      </c>
      <c r="S111" s="11" t="str">
        <f aca="false">IF(OR(N111="",Q111=""),"",IF(Q111&lt;=N111,"Sim","Não"))</f>
        <v/>
      </c>
      <c r="T111" s="19"/>
      <c r="U111" s="12"/>
      <c r="V111" s="12"/>
    </row>
    <row r="112" customFormat="false" ht="15" hidden="false" customHeight="false" outlineLevel="0" collapsed="false">
      <c r="A112" s="12"/>
      <c r="B112" s="18"/>
      <c r="C112" s="12"/>
      <c r="D112" s="11" t="str">
        <f aca="false">IF(C112="","",IFERROR(INDEX(Unidades!$B$2:$B$218,MATCH(C112,Unidades!$A$2:$A$218,0)),"Código não encontrado"))</f>
        <v/>
      </c>
      <c r="E112" s="11" t="str">
        <f aca="false">IF(C112="","",IFERROR(INDEX(Unidades!$C$2:$C$218,MATCH(C112,Unidades!$A$2:$A$218,0)),""))</f>
        <v/>
      </c>
      <c r="F112" s="12"/>
      <c r="G112" s="12"/>
      <c r="H112" s="12"/>
      <c r="I112" s="12"/>
      <c r="J112" s="12"/>
      <c r="K112" s="19"/>
      <c r="L112" s="12"/>
      <c r="M112" s="11" t="str">
        <f aca="false">IF(L112="","",IFERROR(INDEX(Prioridade_SLA!$B$2:$B$5,MATCH(L112,Prioridade_SLA!$A$2:$A$5,0)),""))</f>
        <v/>
      </c>
      <c r="N112" s="16" t="str">
        <f aca="false">IF(OR(B112="",M112=""),"",B112+M112/24)</f>
        <v/>
      </c>
      <c r="O112" s="12"/>
      <c r="P112" s="12"/>
      <c r="Q112" s="18"/>
      <c r="R112" s="17" t="str">
        <f aca="false">IF(OR(B112="",Q112=""),"",(Q112-B112)*24)</f>
        <v/>
      </c>
      <c r="S112" s="11" t="str">
        <f aca="false">IF(OR(N112="",Q112=""),"",IF(Q112&lt;=N112,"Sim","Não"))</f>
        <v/>
      </c>
      <c r="T112" s="19"/>
      <c r="U112" s="12"/>
      <c r="V112" s="12"/>
    </row>
    <row r="113" customFormat="false" ht="15" hidden="false" customHeight="false" outlineLevel="0" collapsed="false">
      <c r="A113" s="12"/>
      <c r="B113" s="18"/>
      <c r="C113" s="12"/>
      <c r="D113" s="11" t="str">
        <f aca="false">IF(C113="","",IFERROR(INDEX(Unidades!$B$2:$B$218,MATCH(C113,Unidades!$A$2:$A$218,0)),"Código não encontrado"))</f>
        <v/>
      </c>
      <c r="E113" s="11" t="str">
        <f aca="false">IF(C113="","",IFERROR(INDEX(Unidades!$C$2:$C$218,MATCH(C113,Unidades!$A$2:$A$218,0)),""))</f>
        <v/>
      </c>
      <c r="F113" s="12"/>
      <c r="G113" s="12"/>
      <c r="H113" s="12"/>
      <c r="I113" s="12"/>
      <c r="J113" s="12"/>
      <c r="K113" s="19"/>
      <c r="L113" s="12"/>
      <c r="M113" s="11" t="str">
        <f aca="false">IF(L113="","",IFERROR(INDEX(Prioridade_SLA!$B$2:$B$5,MATCH(L113,Prioridade_SLA!$A$2:$A$5,0)),""))</f>
        <v/>
      </c>
      <c r="N113" s="16" t="str">
        <f aca="false">IF(OR(B113="",M113=""),"",B113+M113/24)</f>
        <v/>
      </c>
      <c r="O113" s="12"/>
      <c r="P113" s="12"/>
      <c r="Q113" s="18"/>
      <c r="R113" s="17" t="str">
        <f aca="false">IF(OR(B113="",Q113=""),"",(Q113-B113)*24)</f>
        <v/>
      </c>
      <c r="S113" s="11" t="str">
        <f aca="false">IF(OR(N113="",Q113=""),"",IF(Q113&lt;=N113,"Sim","Não"))</f>
        <v/>
      </c>
      <c r="T113" s="19"/>
      <c r="U113" s="12"/>
      <c r="V113" s="12"/>
    </row>
    <row r="114" customFormat="false" ht="15" hidden="false" customHeight="false" outlineLevel="0" collapsed="false">
      <c r="A114" s="12"/>
      <c r="B114" s="18"/>
      <c r="C114" s="12"/>
      <c r="D114" s="11" t="str">
        <f aca="false">IF(C114="","",IFERROR(INDEX(Unidades!$B$2:$B$218,MATCH(C114,Unidades!$A$2:$A$218,0)),"Código não encontrado"))</f>
        <v/>
      </c>
      <c r="E114" s="11" t="str">
        <f aca="false">IF(C114="","",IFERROR(INDEX(Unidades!$C$2:$C$218,MATCH(C114,Unidades!$A$2:$A$218,0)),""))</f>
        <v/>
      </c>
      <c r="F114" s="12"/>
      <c r="G114" s="12"/>
      <c r="H114" s="12"/>
      <c r="I114" s="12"/>
      <c r="J114" s="12"/>
      <c r="K114" s="19"/>
      <c r="L114" s="12"/>
      <c r="M114" s="11" t="str">
        <f aca="false">IF(L114="","",IFERROR(INDEX(Prioridade_SLA!$B$2:$B$5,MATCH(L114,Prioridade_SLA!$A$2:$A$5,0)),""))</f>
        <v/>
      </c>
      <c r="N114" s="16" t="str">
        <f aca="false">IF(OR(B114="",M114=""),"",B114+M114/24)</f>
        <v/>
      </c>
      <c r="O114" s="12"/>
      <c r="P114" s="12"/>
      <c r="Q114" s="18"/>
      <c r="R114" s="17" t="str">
        <f aca="false">IF(OR(B114="",Q114=""),"",(Q114-B114)*24)</f>
        <v/>
      </c>
      <c r="S114" s="11" t="str">
        <f aca="false">IF(OR(N114="",Q114=""),"",IF(Q114&lt;=N114,"Sim","Não"))</f>
        <v/>
      </c>
      <c r="T114" s="19"/>
      <c r="U114" s="12"/>
      <c r="V114" s="12"/>
    </row>
    <row r="115" customFormat="false" ht="15" hidden="false" customHeight="false" outlineLevel="0" collapsed="false">
      <c r="A115" s="12"/>
      <c r="B115" s="18"/>
      <c r="C115" s="12"/>
      <c r="D115" s="11" t="str">
        <f aca="false">IF(C115="","",IFERROR(INDEX(Unidades!$B$2:$B$218,MATCH(C115,Unidades!$A$2:$A$218,0)),"Código não encontrado"))</f>
        <v/>
      </c>
      <c r="E115" s="11" t="str">
        <f aca="false">IF(C115="","",IFERROR(INDEX(Unidades!$C$2:$C$218,MATCH(C115,Unidades!$A$2:$A$218,0)),""))</f>
        <v/>
      </c>
      <c r="F115" s="12"/>
      <c r="G115" s="12"/>
      <c r="H115" s="12"/>
      <c r="I115" s="12"/>
      <c r="J115" s="12"/>
      <c r="K115" s="19"/>
      <c r="L115" s="12"/>
      <c r="M115" s="11" t="str">
        <f aca="false">IF(L115="","",IFERROR(INDEX(Prioridade_SLA!$B$2:$B$5,MATCH(L115,Prioridade_SLA!$A$2:$A$5,0)),""))</f>
        <v/>
      </c>
      <c r="N115" s="16" t="str">
        <f aca="false">IF(OR(B115="",M115=""),"",B115+M115/24)</f>
        <v/>
      </c>
      <c r="O115" s="12"/>
      <c r="P115" s="12"/>
      <c r="Q115" s="18"/>
      <c r="R115" s="17" t="str">
        <f aca="false">IF(OR(B115="",Q115=""),"",(Q115-B115)*24)</f>
        <v/>
      </c>
      <c r="S115" s="11" t="str">
        <f aca="false">IF(OR(N115="",Q115=""),"",IF(Q115&lt;=N115,"Sim","Não"))</f>
        <v/>
      </c>
      <c r="T115" s="19"/>
      <c r="U115" s="12"/>
      <c r="V115" s="12"/>
    </row>
    <row r="116" customFormat="false" ht="15" hidden="false" customHeight="false" outlineLevel="0" collapsed="false">
      <c r="A116" s="12"/>
      <c r="B116" s="18"/>
      <c r="C116" s="12"/>
      <c r="D116" s="11" t="str">
        <f aca="false">IF(C116="","",IFERROR(INDEX(Unidades!$B$2:$B$218,MATCH(C116,Unidades!$A$2:$A$218,0)),"Código não encontrado"))</f>
        <v/>
      </c>
      <c r="E116" s="11" t="str">
        <f aca="false">IF(C116="","",IFERROR(INDEX(Unidades!$C$2:$C$218,MATCH(C116,Unidades!$A$2:$A$218,0)),""))</f>
        <v/>
      </c>
      <c r="F116" s="12"/>
      <c r="G116" s="12"/>
      <c r="H116" s="12"/>
      <c r="I116" s="12"/>
      <c r="J116" s="12"/>
      <c r="K116" s="19"/>
      <c r="L116" s="12"/>
      <c r="M116" s="11" t="str">
        <f aca="false">IF(L116="","",IFERROR(INDEX(Prioridade_SLA!$B$2:$B$5,MATCH(L116,Prioridade_SLA!$A$2:$A$5,0)),""))</f>
        <v/>
      </c>
      <c r="N116" s="16" t="str">
        <f aca="false">IF(OR(B116="",M116=""),"",B116+M116/24)</f>
        <v/>
      </c>
      <c r="O116" s="12"/>
      <c r="P116" s="12"/>
      <c r="Q116" s="18"/>
      <c r="R116" s="17" t="str">
        <f aca="false">IF(OR(B116="",Q116=""),"",(Q116-B116)*24)</f>
        <v/>
      </c>
      <c r="S116" s="11" t="str">
        <f aca="false">IF(OR(N116="",Q116=""),"",IF(Q116&lt;=N116,"Sim","Não"))</f>
        <v/>
      </c>
      <c r="T116" s="19"/>
      <c r="U116" s="12"/>
      <c r="V116" s="12"/>
    </row>
    <row r="117" customFormat="false" ht="15" hidden="false" customHeight="false" outlineLevel="0" collapsed="false">
      <c r="A117" s="12"/>
      <c r="B117" s="18"/>
      <c r="C117" s="12"/>
      <c r="D117" s="11" t="str">
        <f aca="false">IF(C117="","",IFERROR(INDEX(Unidades!$B$2:$B$218,MATCH(C117,Unidades!$A$2:$A$218,0)),"Código não encontrado"))</f>
        <v/>
      </c>
      <c r="E117" s="11" t="str">
        <f aca="false">IF(C117="","",IFERROR(INDEX(Unidades!$C$2:$C$218,MATCH(C117,Unidades!$A$2:$A$218,0)),""))</f>
        <v/>
      </c>
      <c r="F117" s="12"/>
      <c r="G117" s="12"/>
      <c r="H117" s="12"/>
      <c r="I117" s="12"/>
      <c r="J117" s="12"/>
      <c r="K117" s="19"/>
      <c r="L117" s="12"/>
      <c r="M117" s="11" t="str">
        <f aca="false">IF(L117="","",IFERROR(INDEX(Prioridade_SLA!$B$2:$B$5,MATCH(L117,Prioridade_SLA!$A$2:$A$5,0)),""))</f>
        <v/>
      </c>
      <c r="N117" s="16" t="str">
        <f aca="false">IF(OR(B117="",M117=""),"",B117+M117/24)</f>
        <v/>
      </c>
      <c r="O117" s="12"/>
      <c r="P117" s="12"/>
      <c r="Q117" s="18"/>
      <c r="R117" s="17" t="str">
        <f aca="false">IF(OR(B117="",Q117=""),"",(Q117-B117)*24)</f>
        <v/>
      </c>
      <c r="S117" s="11" t="str">
        <f aca="false">IF(OR(N117="",Q117=""),"",IF(Q117&lt;=N117,"Sim","Não"))</f>
        <v/>
      </c>
      <c r="T117" s="19"/>
      <c r="U117" s="12"/>
      <c r="V117" s="12"/>
    </row>
    <row r="118" customFormat="false" ht="15" hidden="false" customHeight="false" outlineLevel="0" collapsed="false">
      <c r="A118" s="12"/>
      <c r="B118" s="18"/>
      <c r="C118" s="12"/>
      <c r="D118" s="11" t="str">
        <f aca="false">IF(C118="","",IFERROR(INDEX(Unidades!$B$2:$B$218,MATCH(C118,Unidades!$A$2:$A$218,0)),"Código não encontrado"))</f>
        <v/>
      </c>
      <c r="E118" s="11" t="str">
        <f aca="false">IF(C118="","",IFERROR(INDEX(Unidades!$C$2:$C$218,MATCH(C118,Unidades!$A$2:$A$218,0)),""))</f>
        <v/>
      </c>
      <c r="F118" s="12"/>
      <c r="G118" s="12"/>
      <c r="H118" s="12"/>
      <c r="I118" s="12"/>
      <c r="J118" s="12"/>
      <c r="K118" s="19"/>
      <c r="L118" s="12"/>
      <c r="M118" s="11" t="str">
        <f aca="false">IF(L118="","",IFERROR(INDEX(Prioridade_SLA!$B$2:$B$5,MATCH(L118,Prioridade_SLA!$A$2:$A$5,0)),""))</f>
        <v/>
      </c>
      <c r="N118" s="16" t="str">
        <f aca="false">IF(OR(B118="",M118=""),"",B118+M118/24)</f>
        <v/>
      </c>
      <c r="O118" s="12"/>
      <c r="P118" s="12"/>
      <c r="Q118" s="18"/>
      <c r="R118" s="17" t="str">
        <f aca="false">IF(OR(B118="",Q118=""),"",(Q118-B118)*24)</f>
        <v/>
      </c>
      <c r="S118" s="11" t="str">
        <f aca="false">IF(OR(N118="",Q118=""),"",IF(Q118&lt;=N118,"Sim","Não"))</f>
        <v/>
      </c>
      <c r="T118" s="19"/>
      <c r="U118" s="12"/>
      <c r="V118" s="12"/>
    </row>
    <row r="119" customFormat="false" ht="15" hidden="false" customHeight="false" outlineLevel="0" collapsed="false">
      <c r="A119" s="12"/>
      <c r="B119" s="18"/>
      <c r="C119" s="12"/>
      <c r="D119" s="11" t="str">
        <f aca="false">IF(C119="","",IFERROR(INDEX(Unidades!$B$2:$B$218,MATCH(C119,Unidades!$A$2:$A$218,0)),"Código não encontrado"))</f>
        <v/>
      </c>
      <c r="E119" s="11" t="str">
        <f aca="false">IF(C119="","",IFERROR(INDEX(Unidades!$C$2:$C$218,MATCH(C119,Unidades!$A$2:$A$218,0)),""))</f>
        <v/>
      </c>
      <c r="F119" s="12"/>
      <c r="G119" s="12"/>
      <c r="H119" s="12"/>
      <c r="I119" s="12"/>
      <c r="J119" s="12"/>
      <c r="K119" s="19"/>
      <c r="L119" s="12"/>
      <c r="M119" s="11" t="str">
        <f aca="false">IF(L119="","",IFERROR(INDEX(Prioridade_SLA!$B$2:$B$5,MATCH(L119,Prioridade_SLA!$A$2:$A$5,0)),""))</f>
        <v/>
      </c>
      <c r="N119" s="16" t="str">
        <f aca="false">IF(OR(B119="",M119=""),"",B119+M119/24)</f>
        <v/>
      </c>
      <c r="O119" s="12"/>
      <c r="P119" s="12"/>
      <c r="Q119" s="18"/>
      <c r="R119" s="17" t="str">
        <f aca="false">IF(OR(B119="",Q119=""),"",(Q119-B119)*24)</f>
        <v/>
      </c>
      <c r="S119" s="11" t="str">
        <f aca="false">IF(OR(N119="",Q119=""),"",IF(Q119&lt;=N119,"Sim","Não"))</f>
        <v/>
      </c>
      <c r="T119" s="19"/>
      <c r="U119" s="12"/>
      <c r="V119" s="12"/>
    </row>
    <row r="120" customFormat="false" ht="15" hidden="false" customHeight="false" outlineLevel="0" collapsed="false">
      <c r="A120" s="12"/>
      <c r="B120" s="18"/>
      <c r="C120" s="12"/>
      <c r="D120" s="11" t="str">
        <f aca="false">IF(C120="","",IFERROR(INDEX(Unidades!$B$2:$B$218,MATCH(C120,Unidades!$A$2:$A$218,0)),"Código não encontrado"))</f>
        <v/>
      </c>
      <c r="E120" s="11" t="str">
        <f aca="false">IF(C120="","",IFERROR(INDEX(Unidades!$C$2:$C$218,MATCH(C120,Unidades!$A$2:$A$218,0)),""))</f>
        <v/>
      </c>
      <c r="F120" s="12"/>
      <c r="G120" s="12"/>
      <c r="H120" s="12"/>
      <c r="I120" s="12"/>
      <c r="J120" s="12"/>
      <c r="K120" s="19"/>
      <c r="L120" s="12"/>
      <c r="M120" s="11" t="str">
        <f aca="false">IF(L120="","",IFERROR(INDEX(Prioridade_SLA!$B$2:$B$5,MATCH(L120,Prioridade_SLA!$A$2:$A$5,0)),""))</f>
        <v/>
      </c>
      <c r="N120" s="16" t="str">
        <f aca="false">IF(OR(B120="",M120=""),"",B120+M120/24)</f>
        <v/>
      </c>
      <c r="O120" s="12"/>
      <c r="P120" s="12"/>
      <c r="Q120" s="18"/>
      <c r="R120" s="17" t="str">
        <f aca="false">IF(OR(B120="",Q120=""),"",(Q120-B120)*24)</f>
        <v/>
      </c>
      <c r="S120" s="11" t="str">
        <f aca="false">IF(OR(N120="",Q120=""),"",IF(Q120&lt;=N120,"Sim","Não"))</f>
        <v/>
      </c>
      <c r="T120" s="19"/>
      <c r="U120" s="12"/>
      <c r="V120" s="12"/>
    </row>
    <row r="121" customFormat="false" ht="15" hidden="false" customHeight="false" outlineLevel="0" collapsed="false">
      <c r="A121" s="12"/>
      <c r="B121" s="18"/>
      <c r="C121" s="12"/>
      <c r="D121" s="11" t="str">
        <f aca="false">IF(C121="","",IFERROR(INDEX(Unidades!$B$2:$B$218,MATCH(C121,Unidades!$A$2:$A$218,0)),"Código não encontrado"))</f>
        <v/>
      </c>
      <c r="E121" s="11" t="str">
        <f aca="false">IF(C121="","",IFERROR(INDEX(Unidades!$C$2:$C$218,MATCH(C121,Unidades!$A$2:$A$218,0)),""))</f>
        <v/>
      </c>
      <c r="F121" s="12"/>
      <c r="G121" s="12"/>
      <c r="H121" s="12"/>
      <c r="I121" s="12"/>
      <c r="J121" s="12"/>
      <c r="K121" s="19"/>
      <c r="L121" s="12"/>
      <c r="M121" s="11" t="str">
        <f aca="false">IF(L121="","",IFERROR(INDEX(Prioridade_SLA!$B$2:$B$5,MATCH(L121,Prioridade_SLA!$A$2:$A$5,0)),""))</f>
        <v/>
      </c>
      <c r="N121" s="16" t="str">
        <f aca="false">IF(OR(B121="",M121=""),"",B121+M121/24)</f>
        <v/>
      </c>
      <c r="O121" s="12"/>
      <c r="P121" s="12"/>
      <c r="Q121" s="18"/>
      <c r="R121" s="17" t="str">
        <f aca="false">IF(OR(B121="",Q121=""),"",(Q121-B121)*24)</f>
        <v/>
      </c>
      <c r="S121" s="11" t="str">
        <f aca="false">IF(OR(N121="",Q121=""),"",IF(Q121&lt;=N121,"Sim","Não"))</f>
        <v/>
      </c>
      <c r="T121" s="19"/>
      <c r="U121" s="12"/>
      <c r="V121" s="12"/>
    </row>
    <row r="122" customFormat="false" ht="15" hidden="false" customHeight="false" outlineLevel="0" collapsed="false">
      <c r="A122" s="12"/>
      <c r="B122" s="18"/>
      <c r="C122" s="12"/>
      <c r="D122" s="11" t="str">
        <f aca="false">IF(C122="","",IFERROR(INDEX(Unidades!$B$2:$B$218,MATCH(C122,Unidades!$A$2:$A$218,0)),"Código não encontrado"))</f>
        <v/>
      </c>
      <c r="E122" s="11" t="str">
        <f aca="false">IF(C122="","",IFERROR(INDEX(Unidades!$C$2:$C$218,MATCH(C122,Unidades!$A$2:$A$218,0)),""))</f>
        <v/>
      </c>
      <c r="F122" s="12"/>
      <c r="G122" s="12"/>
      <c r="H122" s="12"/>
      <c r="I122" s="12"/>
      <c r="J122" s="12"/>
      <c r="K122" s="19"/>
      <c r="L122" s="12"/>
      <c r="M122" s="11" t="str">
        <f aca="false">IF(L122="","",IFERROR(INDEX(Prioridade_SLA!$B$2:$B$5,MATCH(L122,Prioridade_SLA!$A$2:$A$5,0)),""))</f>
        <v/>
      </c>
      <c r="N122" s="16" t="str">
        <f aca="false">IF(OR(B122="",M122=""),"",B122+M122/24)</f>
        <v/>
      </c>
      <c r="O122" s="12"/>
      <c r="P122" s="12"/>
      <c r="Q122" s="18"/>
      <c r="R122" s="17" t="str">
        <f aca="false">IF(OR(B122="",Q122=""),"",(Q122-B122)*24)</f>
        <v/>
      </c>
      <c r="S122" s="11" t="str">
        <f aca="false">IF(OR(N122="",Q122=""),"",IF(Q122&lt;=N122,"Sim","Não"))</f>
        <v/>
      </c>
      <c r="T122" s="19"/>
      <c r="U122" s="12"/>
      <c r="V122" s="12"/>
    </row>
    <row r="123" customFormat="false" ht="15" hidden="false" customHeight="false" outlineLevel="0" collapsed="false">
      <c r="A123" s="12"/>
      <c r="B123" s="18"/>
      <c r="C123" s="12"/>
      <c r="D123" s="11" t="str">
        <f aca="false">IF(C123="","",IFERROR(INDEX(Unidades!$B$2:$B$218,MATCH(C123,Unidades!$A$2:$A$218,0)),"Código não encontrado"))</f>
        <v/>
      </c>
      <c r="E123" s="11" t="str">
        <f aca="false">IF(C123="","",IFERROR(INDEX(Unidades!$C$2:$C$218,MATCH(C123,Unidades!$A$2:$A$218,0)),""))</f>
        <v/>
      </c>
      <c r="F123" s="12"/>
      <c r="G123" s="12"/>
      <c r="H123" s="12"/>
      <c r="I123" s="12"/>
      <c r="J123" s="12"/>
      <c r="K123" s="19"/>
      <c r="L123" s="12"/>
      <c r="M123" s="11" t="str">
        <f aca="false">IF(L123="","",IFERROR(INDEX(Prioridade_SLA!$B$2:$B$5,MATCH(L123,Prioridade_SLA!$A$2:$A$5,0)),""))</f>
        <v/>
      </c>
      <c r="N123" s="16" t="str">
        <f aca="false">IF(OR(B123="",M123=""),"",B123+M123/24)</f>
        <v/>
      </c>
      <c r="O123" s="12"/>
      <c r="P123" s="12"/>
      <c r="Q123" s="18"/>
      <c r="R123" s="17" t="str">
        <f aca="false">IF(OR(B123="",Q123=""),"",(Q123-B123)*24)</f>
        <v/>
      </c>
      <c r="S123" s="11" t="str">
        <f aca="false">IF(OR(N123="",Q123=""),"",IF(Q123&lt;=N123,"Sim","Não"))</f>
        <v/>
      </c>
      <c r="T123" s="19"/>
      <c r="U123" s="12"/>
      <c r="V123" s="12"/>
    </row>
    <row r="124" customFormat="false" ht="15" hidden="false" customHeight="false" outlineLevel="0" collapsed="false">
      <c r="A124" s="12"/>
      <c r="B124" s="18"/>
      <c r="C124" s="12"/>
      <c r="D124" s="11" t="str">
        <f aca="false">IF(C124="","",IFERROR(INDEX(Unidades!$B$2:$B$218,MATCH(C124,Unidades!$A$2:$A$218,0)),"Código não encontrado"))</f>
        <v/>
      </c>
      <c r="E124" s="11" t="str">
        <f aca="false">IF(C124="","",IFERROR(INDEX(Unidades!$C$2:$C$218,MATCH(C124,Unidades!$A$2:$A$218,0)),""))</f>
        <v/>
      </c>
      <c r="F124" s="12"/>
      <c r="G124" s="12"/>
      <c r="H124" s="12"/>
      <c r="I124" s="12"/>
      <c r="J124" s="12"/>
      <c r="K124" s="19"/>
      <c r="L124" s="12"/>
      <c r="M124" s="11" t="str">
        <f aca="false">IF(L124="","",IFERROR(INDEX(Prioridade_SLA!$B$2:$B$5,MATCH(L124,Prioridade_SLA!$A$2:$A$5,0)),""))</f>
        <v/>
      </c>
      <c r="N124" s="16" t="str">
        <f aca="false">IF(OR(B124="",M124=""),"",B124+M124/24)</f>
        <v/>
      </c>
      <c r="O124" s="12"/>
      <c r="P124" s="12"/>
      <c r="Q124" s="18"/>
      <c r="R124" s="17" t="str">
        <f aca="false">IF(OR(B124="",Q124=""),"",(Q124-B124)*24)</f>
        <v/>
      </c>
      <c r="S124" s="11" t="str">
        <f aca="false">IF(OR(N124="",Q124=""),"",IF(Q124&lt;=N124,"Sim","Não"))</f>
        <v/>
      </c>
      <c r="T124" s="19"/>
      <c r="U124" s="12"/>
      <c r="V124" s="12"/>
    </row>
    <row r="125" customFormat="false" ht="15" hidden="false" customHeight="false" outlineLevel="0" collapsed="false">
      <c r="A125" s="12"/>
      <c r="B125" s="18"/>
      <c r="C125" s="12"/>
      <c r="D125" s="11" t="str">
        <f aca="false">IF(C125="","",IFERROR(INDEX(Unidades!$B$2:$B$218,MATCH(C125,Unidades!$A$2:$A$218,0)),"Código não encontrado"))</f>
        <v/>
      </c>
      <c r="E125" s="11" t="str">
        <f aca="false">IF(C125="","",IFERROR(INDEX(Unidades!$C$2:$C$218,MATCH(C125,Unidades!$A$2:$A$218,0)),""))</f>
        <v/>
      </c>
      <c r="F125" s="12"/>
      <c r="G125" s="12"/>
      <c r="H125" s="12"/>
      <c r="I125" s="12"/>
      <c r="J125" s="12"/>
      <c r="K125" s="19"/>
      <c r="L125" s="12"/>
      <c r="M125" s="11" t="str">
        <f aca="false">IF(L125="","",IFERROR(INDEX(Prioridade_SLA!$B$2:$B$5,MATCH(L125,Prioridade_SLA!$A$2:$A$5,0)),""))</f>
        <v/>
      </c>
      <c r="N125" s="16" t="str">
        <f aca="false">IF(OR(B125="",M125=""),"",B125+M125/24)</f>
        <v/>
      </c>
      <c r="O125" s="12"/>
      <c r="P125" s="12"/>
      <c r="Q125" s="18"/>
      <c r="R125" s="17" t="str">
        <f aca="false">IF(OR(B125="",Q125=""),"",(Q125-B125)*24)</f>
        <v/>
      </c>
      <c r="S125" s="11" t="str">
        <f aca="false">IF(OR(N125="",Q125=""),"",IF(Q125&lt;=N125,"Sim","Não"))</f>
        <v/>
      </c>
      <c r="T125" s="19"/>
      <c r="U125" s="12"/>
      <c r="V125" s="12"/>
    </row>
    <row r="126" customFormat="false" ht="15" hidden="false" customHeight="false" outlineLevel="0" collapsed="false">
      <c r="A126" s="12"/>
      <c r="B126" s="18"/>
      <c r="C126" s="12"/>
      <c r="D126" s="11" t="str">
        <f aca="false">IF(C126="","",IFERROR(INDEX(Unidades!$B$2:$B$218,MATCH(C126,Unidades!$A$2:$A$218,0)),"Código não encontrado"))</f>
        <v/>
      </c>
      <c r="E126" s="11" t="str">
        <f aca="false">IF(C126="","",IFERROR(INDEX(Unidades!$C$2:$C$218,MATCH(C126,Unidades!$A$2:$A$218,0)),""))</f>
        <v/>
      </c>
      <c r="F126" s="12"/>
      <c r="G126" s="12"/>
      <c r="H126" s="12"/>
      <c r="I126" s="12"/>
      <c r="J126" s="12"/>
      <c r="K126" s="19"/>
      <c r="L126" s="12"/>
      <c r="M126" s="11" t="str">
        <f aca="false">IF(L126="","",IFERROR(INDEX(Prioridade_SLA!$B$2:$B$5,MATCH(L126,Prioridade_SLA!$A$2:$A$5,0)),""))</f>
        <v/>
      </c>
      <c r="N126" s="16" t="str">
        <f aca="false">IF(OR(B126="",M126=""),"",B126+M126/24)</f>
        <v/>
      </c>
      <c r="O126" s="12"/>
      <c r="P126" s="12"/>
      <c r="Q126" s="18"/>
      <c r="R126" s="17" t="str">
        <f aca="false">IF(OR(B126="",Q126=""),"",(Q126-B126)*24)</f>
        <v/>
      </c>
      <c r="S126" s="11" t="str">
        <f aca="false">IF(OR(N126="",Q126=""),"",IF(Q126&lt;=N126,"Sim","Não"))</f>
        <v/>
      </c>
      <c r="T126" s="19"/>
      <c r="U126" s="12"/>
      <c r="V126" s="12"/>
    </row>
    <row r="127" customFormat="false" ht="15" hidden="false" customHeight="false" outlineLevel="0" collapsed="false">
      <c r="A127" s="12"/>
      <c r="B127" s="18"/>
      <c r="C127" s="12"/>
      <c r="D127" s="11" t="str">
        <f aca="false">IF(C127="","",IFERROR(INDEX(Unidades!$B$2:$B$218,MATCH(C127,Unidades!$A$2:$A$218,0)),"Código não encontrado"))</f>
        <v/>
      </c>
      <c r="E127" s="11" t="str">
        <f aca="false">IF(C127="","",IFERROR(INDEX(Unidades!$C$2:$C$218,MATCH(C127,Unidades!$A$2:$A$218,0)),""))</f>
        <v/>
      </c>
      <c r="F127" s="12"/>
      <c r="G127" s="12"/>
      <c r="H127" s="12"/>
      <c r="I127" s="12"/>
      <c r="J127" s="12"/>
      <c r="K127" s="19"/>
      <c r="L127" s="12"/>
      <c r="M127" s="11" t="str">
        <f aca="false">IF(L127="","",IFERROR(INDEX(Prioridade_SLA!$B$2:$B$5,MATCH(L127,Prioridade_SLA!$A$2:$A$5,0)),""))</f>
        <v/>
      </c>
      <c r="N127" s="16" t="str">
        <f aca="false">IF(OR(B127="",M127=""),"",B127+M127/24)</f>
        <v/>
      </c>
      <c r="O127" s="12"/>
      <c r="P127" s="12"/>
      <c r="Q127" s="18"/>
      <c r="R127" s="17" t="str">
        <f aca="false">IF(OR(B127="",Q127=""),"",(Q127-B127)*24)</f>
        <v/>
      </c>
      <c r="S127" s="11" t="str">
        <f aca="false">IF(OR(N127="",Q127=""),"",IF(Q127&lt;=N127,"Sim","Não"))</f>
        <v/>
      </c>
      <c r="T127" s="19"/>
      <c r="U127" s="12"/>
      <c r="V127" s="12"/>
    </row>
    <row r="128" customFormat="false" ht="15" hidden="false" customHeight="false" outlineLevel="0" collapsed="false">
      <c r="A128" s="12"/>
      <c r="B128" s="18"/>
      <c r="C128" s="12"/>
      <c r="D128" s="11" t="str">
        <f aca="false">IF(C128="","",IFERROR(INDEX(Unidades!$B$2:$B$218,MATCH(C128,Unidades!$A$2:$A$218,0)),"Código não encontrado"))</f>
        <v/>
      </c>
      <c r="E128" s="11" t="str">
        <f aca="false">IF(C128="","",IFERROR(INDEX(Unidades!$C$2:$C$218,MATCH(C128,Unidades!$A$2:$A$218,0)),""))</f>
        <v/>
      </c>
      <c r="F128" s="12"/>
      <c r="G128" s="12"/>
      <c r="H128" s="12"/>
      <c r="I128" s="12"/>
      <c r="J128" s="12"/>
      <c r="K128" s="19"/>
      <c r="L128" s="12"/>
      <c r="M128" s="11" t="str">
        <f aca="false">IF(L128="","",IFERROR(INDEX(Prioridade_SLA!$B$2:$B$5,MATCH(L128,Prioridade_SLA!$A$2:$A$5,0)),""))</f>
        <v/>
      </c>
      <c r="N128" s="16" t="str">
        <f aca="false">IF(OR(B128="",M128=""),"",B128+M128/24)</f>
        <v/>
      </c>
      <c r="O128" s="12"/>
      <c r="P128" s="12"/>
      <c r="Q128" s="18"/>
      <c r="R128" s="17" t="str">
        <f aca="false">IF(OR(B128="",Q128=""),"",(Q128-B128)*24)</f>
        <v/>
      </c>
      <c r="S128" s="11" t="str">
        <f aca="false">IF(OR(N128="",Q128=""),"",IF(Q128&lt;=N128,"Sim","Não"))</f>
        <v/>
      </c>
      <c r="T128" s="19"/>
      <c r="U128" s="12"/>
      <c r="V128" s="12"/>
    </row>
    <row r="129" customFormat="false" ht="15" hidden="false" customHeight="false" outlineLevel="0" collapsed="false">
      <c r="A129" s="12"/>
      <c r="B129" s="18"/>
      <c r="C129" s="12"/>
      <c r="D129" s="11" t="str">
        <f aca="false">IF(C129="","",IFERROR(INDEX(Unidades!$B$2:$B$218,MATCH(C129,Unidades!$A$2:$A$218,0)),"Código não encontrado"))</f>
        <v/>
      </c>
      <c r="E129" s="11" t="str">
        <f aca="false">IF(C129="","",IFERROR(INDEX(Unidades!$C$2:$C$218,MATCH(C129,Unidades!$A$2:$A$218,0)),""))</f>
        <v/>
      </c>
      <c r="F129" s="12"/>
      <c r="G129" s="12"/>
      <c r="H129" s="12"/>
      <c r="I129" s="12"/>
      <c r="J129" s="12"/>
      <c r="K129" s="19"/>
      <c r="L129" s="12"/>
      <c r="M129" s="11" t="str">
        <f aca="false">IF(L129="","",IFERROR(INDEX(Prioridade_SLA!$B$2:$B$5,MATCH(L129,Prioridade_SLA!$A$2:$A$5,0)),""))</f>
        <v/>
      </c>
      <c r="N129" s="16" t="str">
        <f aca="false">IF(OR(B129="",M129=""),"",B129+M129/24)</f>
        <v/>
      </c>
      <c r="O129" s="12"/>
      <c r="P129" s="12"/>
      <c r="Q129" s="18"/>
      <c r="R129" s="17" t="str">
        <f aca="false">IF(OR(B129="",Q129=""),"",(Q129-B129)*24)</f>
        <v/>
      </c>
      <c r="S129" s="11" t="str">
        <f aca="false">IF(OR(N129="",Q129=""),"",IF(Q129&lt;=N129,"Sim","Não"))</f>
        <v/>
      </c>
      <c r="T129" s="19"/>
      <c r="U129" s="12"/>
      <c r="V129" s="12"/>
    </row>
    <row r="130" customFormat="false" ht="15" hidden="false" customHeight="false" outlineLevel="0" collapsed="false">
      <c r="A130" s="12"/>
      <c r="B130" s="18"/>
      <c r="C130" s="12"/>
      <c r="D130" s="11" t="str">
        <f aca="false">IF(C130="","",IFERROR(INDEX(Unidades!$B$2:$B$218,MATCH(C130,Unidades!$A$2:$A$218,0)),"Código não encontrado"))</f>
        <v/>
      </c>
      <c r="E130" s="11" t="str">
        <f aca="false">IF(C130="","",IFERROR(INDEX(Unidades!$C$2:$C$218,MATCH(C130,Unidades!$A$2:$A$218,0)),""))</f>
        <v/>
      </c>
      <c r="F130" s="12"/>
      <c r="G130" s="12"/>
      <c r="H130" s="12"/>
      <c r="I130" s="12"/>
      <c r="J130" s="12"/>
      <c r="K130" s="19"/>
      <c r="L130" s="12"/>
      <c r="M130" s="11" t="str">
        <f aca="false">IF(L130="","",IFERROR(INDEX(Prioridade_SLA!$B$2:$B$5,MATCH(L130,Prioridade_SLA!$A$2:$A$5,0)),""))</f>
        <v/>
      </c>
      <c r="N130" s="16" t="str">
        <f aca="false">IF(OR(B130="",M130=""),"",B130+M130/24)</f>
        <v/>
      </c>
      <c r="O130" s="12"/>
      <c r="P130" s="12"/>
      <c r="Q130" s="18"/>
      <c r="R130" s="17" t="str">
        <f aca="false">IF(OR(B130="",Q130=""),"",(Q130-B130)*24)</f>
        <v/>
      </c>
      <c r="S130" s="11" t="str">
        <f aca="false">IF(OR(N130="",Q130=""),"",IF(Q130&lt;=N130,"Sim","Não"))</f>
        <v/>
      </c>
      <c r="T130" s="19"/>
      <c r="U130" s="12"/>
      <c r="V130" s="12"/>
    </row>
    <row r="131" customFormat="false" ht="15" hidden="false" customHeight="false" outlineLevel="0" collapsed="false">
      <c r="A131" s="12"/>
      <c r="B131" s="18"/>
      <c r="C131" s="12"/>
      <c r="D131" s="11" t="str">
        <f aca="false">IF(C131="","",IFERROR(INDEX(Unidades!$B$2:$B$218,MATCH(C131,Unidades!$A$2:$A$218,0)),"Código não encontrado"))</f>
        <v/>
      </c>
      <c r="E131" s="11" t="str">
        <f aca="false">IF(C131="","",IFERROR(INDEX(Unidades!$C$2:$C$218,MATCH(C131,Unidades!$A$2:$A$218,0)),""))</f>
        <v/>
      </c>
      <c r="F131" s="12"/>
      <c r="G131" s="12"/>
      <c r="H131" s="12"/>
      <c r="I131" s="12"/>
      <c r="J131" s="12"/>
      <c r="K131" s="19"/>
      <c r="L131" s="12"/>
      <c r="M131" s="11" t="str">
        <f aca="false">IF(L131="","",IFERROR(INDEX(Prioridade_SLA!$B$2:$B$5,MATCH(L131,Prioridade_SLA!$A$2:$A$5,0)),""))</f>
        <v/>
      </c>
      <c r="N131" s="16" t="str">
        <f aca="false">IF(OR(B131="",M131=""),"",B131+M131/24)</f>
        <v/>
      </c>
      <c r="O131" s="12"/>
      <c r="P131" s="12"/>
      <c r="Q131" s="18"/>
      <c r="R131" s="17" t="str">
        <f aca="false">IF(OR(B131="",Q131=""),"",(Q131-B131)*24)</f>
        <v/>
      </c>
      <c r="S131" s="11" t="str">
        <f aca="false">IF(OR(N131="",Q131=""),"",IF(Q131&lt;=N131,"Sim","Não"))</f>
        <v/>
      </c>
      <c r="T131" s="19"/>
      <c r="U131" s="12"/>
      <c r="V131" s="12"/>
    </row>
    <row r="132" customFormat="false" ht="15" hidden="false" customHeight="false" outlineLevel="0" collapsed="false">
      <c r="A132" s="12"/>
      <c r="B132" s="18"/>
      <c r="C132" s="12"/>
      <c r="D132" s="11" t="str">
        <f aca="false">IF(C132="","",IFERROR(INDEX(Unidades!$B$2:$B$218,MATCH(C132,Unidades!$A$2:$A$218,0)),"Código não encontrado"))</f>
        <v/>
      </c>
      <c r="E132" s="11" t="str">
        <f aca="false">IF(C132="","",IFERROR(INDEX(Unidades!$C$2:$C$218,MATCH(C132,Unidades!$A$2:$A$218,0)),""))</f>
        <v/>
      </c>
      <c r="F132" s="12"/>
      <c r="G132" s="12"/>
      <c r="H132" s="12"/>
      <c r="I132" s="12"/>
      <c r="J132" s="12"/>
      <c r="K132" s="19"/>
      <c r="L132" s="12"/>
      <c r="M132" s="11" t="str">
        <f aca="false">IF(L132="","",IFERROR(INDEX(Prioridade_SLA!$B$2:$B$5,MATCH(L132,Prioridade_SLA!$A$2:$A$5,0)),""))</f>
        <v/>
      </c>
      <c r="N132" s="16" t="str">
        <f aca="false">IF(OR(B132="",M132=""),"",B132+M132/24)</f>
        <v/>
      </c>
      <c r="O132" s="12"/>
      <c r="P132" s="12"/>
      <c r="Q132" s="18"/>
      <c r="R132" s="17" t="str">
        <f aca="false">IF(OR(B132="",Q132=""),"",(Q132-B132)*24)</f>
        <v/>
      </c>
      <c r="S132" s="11" t="str">
        <f aca="false">IF(OR(N132="",Q132=""),"",IF(Q132&lt;=N132,"Sim","Não"))</f>
        <v/>
      </c>
      <c r="T132" s="19"/>
      <c r="U132" s="12"/>
      <c r="V132" s="12"/>
    </row>
    <row r="133" customFormat="false" ht="15" hidden="false" customHeight="false" outlineLevel="0" collapsed="false">
      <c r="A133" s="12"/>
      <c r="B133" s="18"/>
      <c r="C133" s="12"/>
      <c r="D133" s="11" t="str">
        <f aca="false">IF(C133="","",IFERROR(INDEX(Unidades!$B$2:$B$218,MATCH(C133,Unidades!$A$2:$A$218,0)),"Código não encontrado"))</f>
        <v/>
      </c>
      <c r="E133" s="11" t="str">
        <f aca="false">IF(C133="","",IFERROR(INDEX(Unidades!$C$2:$C$218,MATCH(C133,Unidades!$A$2:$A$218,0)),""))</f>
        <v/>
      </c>
      <c r="F133" s="12"/>
      <c r="G133" s="12"/>
      <c r="H133" s="12"/>
      <c r="I133" s="12"/>
      <c r="J133" s="12"/>
      <c r="K133" s="19"/>
      <c r="L133" s="12"/>
      <c r="M133" s="11" t="str">
        <f aca="false">IF(L133="","",IFERROR(INDEX(Prioridade_SLA!$B$2:$B$5,MATCH(L133,Prioridade_SLA!$A$2:$A$5,0)),""))</f>
        <v/>
      </c>
      <c r="N133" s="16" t="str">
        <f aca="false">IF(OR(B133="",M133=""),"",B133+M133/24)</f>
        <v/>
      </c>
      <c r="O133" s="12"/>
      <c r="P133" s="12"/>
      <c r="Q133" s="18"/>
      <c r="R133" s="17" t="str">
        <f aca="false">IF(OR(B133="",Q133=""),"",(Q133-B133)*24)</f>
        <v/>
      </c>
      <c r="S133" s="11" t="str">
        <f aca="false">IF(OR(N133="",Q133=""),"",IF(Q133&lt;=N133,"Sim","Não"))</f>
        <v/>
      </c>
      <c r="T133" s="19"/>
      <c r="U133" s="12"/>
      <c r="V133" s="12"/>
    </row>
    <row r="134" customFormat="false" ht="15" hidden="false" customHeight="false" outlineLevel="0" collapsed="false">
      <c r="A134" s="12"/>
      <c r="B134" s="18"/>
      <c r="C134" s="12"/>
      <c r="D134" s="11" t="str">
        <f aca="false">IF(C134="","",IFERROR(INDEX(Unidades!$B$2:$B$218,MATCH(C134,Unidades!$A$2:$A$218,0)),"Código não encontrado"))</f>
        <v/>
      </c>
      <c r="E134" s="11" t="str">
        <f aca="false">IF(C134="","",IFERROR(INDEX(Unidades!$C$2:$C$218,MATCH(C134,Unidades!$A$2:$A$218,0)),""))</f>
        <v/>
      </c>
      <c r="F134" s="12"/>
      <c r="G134" s="12"/>
      <c r="H134" s="12"/>
      <c r="I134" s="12"/>
      <c r="J134" s="12"/>
      <c r="K134" s="19"/>
      <c r="L134" s="12"/>
      <c r="M134" s="11" t="str">
        <f aca="false">IF(L134="","",IFERROR(INDEX(Prioridade_SLA!$B$2:$B$5,MATCH(L134,Prioridade_SLA!$A$2:$A$5,0)),""))</f>
        <v/>
      </c>
      <c r="N134" s="16" t="str">
        <f aca="false">IF(OR(B134="",M134=""),"",B134+M134/24)</f>
        <v/>
      </c>
      <c r="O134" s="12"/>
      <c r="P134" s="12"/>
      <c r="Q134" s="18"/>
      <c r="R134" s="17" t="str">
        <f aca="false">IF(OR(B134="",Q134=""),"",(Q134-B134)*24)</f>
        <v/>
      </c>
      <c r="S134" s="11" t="str">
        <f aca="false">IF(OR(N134="",Q134=""),"",IF(Q134&lt;=N134,"Sim","Não"))</f>
        <v/>
      </c>
      <c r="T134" s="19"/>
      <c r="U134" s="12"/>
      <c r="V134" s="12"/>
    </row>
    <row r="135" customFormat="false" ht="15" hidden="false" customHeight="false" outlineLevel="0" collapsed="false">
      <c r="A135" s="12"/>
      <c r="B135" s="18"/>
      <c r="C135" s="12"/>
      <c r="D135" s="11" t="str">
        <f aca="false">IF(C135="","",IFERROR(INDEX(Unidades!$B$2:$B$218,MATCH(C135,Unidades!$A$2:$A$218,0)),"Código não encontrado"))</f>
        <v/>
      </c>
      <c r="E135" s="11" t="str">
        <f aca="false">IF(C135="","",IFERROR(INDEX(Unidades!$C$2:$C$218,MATCH(C135,Unidades!$A$2:$A$218,0)),""))</f>
        <v/>
      </c>
      <c r="F135" s="12"/>
      <c r="G135" s="12"/>
      <c r="H135" s="12"/>
      <c r="I135" s="12"/>
      <c r="J135" s="12"/>
      <c r="K135" s="19"/>
      <c r="L135" s="12"/>
      <c r="M135" s="11" t="str">
        <f aca="false">IF(L135="","",IFERROR(INDEX(Prioridade_SLA!$B$2:$B$5,MATCH(L135,Prioridade_SLA!$A$2:$A$5,0)),""))</f>
        <v/>
      </c>
      <c r="N135" s="16" t="str">
        <f aca="false">IF(OR(B135="",M135=""),"",B135+M135/24)</f>
        <v/>
      </c>
      <c r="O135" s="12"/>
      <c r="P135" s="12"/>
      <c r="Q135" s="18"/>
      <c r="R135" s="17" t="str">
        <f aca="false">IF(OR(B135="",Q135=""),"",(Q135-B135)*24)</f>
        <v/>
      </c>
      <c r="S135" s="11" t="str">
        <f aca="false">IF(OR(N135="",Q135=""),"",IF(Q135&lt;=N135,"Sim","Não"))</f>
        <v/>
      </c>
      <c r="T135" s="19"/>
      <c r="U135" s="12"/>
      <c r="V135" s="12"/>
    </row>
    <row r="136" customFormat="false" ht="15" hidden="false" customHeight="false" outlineLevel="0" collapsed="false">
      <c r="A136" s="12"/>
      <c r="B136" s="18"/>
      <c r="C136" s="12"/>
      <c r="D136" s="11" t="str">
        <f aca="false">IF(C136="","",IFERROR(INDEX(Unidades!$B$2:$B$218,MATCH(C136,Unidades!$A$2:$A$218,0)),"Código não encontrado"))</f>
        <v/>
      </c>
      <c r="E136" s="11" t="str">
        <f aca="false">IF(C136="","",IFERROR(INDEX(Unidades!$C$2:$C$218,MATCH(C136,Unidades!$A$2:$A$218,0)),""))</f>
        <v/>
      </c>
      <c r="F136" s="12"/>
      <c r="G136" s="12"/>
      <c r="H136" s="12"/>
      <c r="I136" s="12"/>
      <c r="J136" s="12"/>
      <c r="K136" s="19"/>
      <c r="L136" s="12"/>
      <c r="M136" s="11" t="str">
        <f aca="false">IF(L136="","",IFERROR(INDEX(Prioridade_SLA!$B$2:$B$5,MATCH(L136,Prioridade_SLA!$A$2:$A$5,0)),""))</f>
        <v/>
      </c>
      <c r="N136" s="16" t="str">
        <f aca="false">IF(OR(B136="",M136=""),"",B136+M136/24)</f>
        <v/>
      </c>
      <c r="O136" s="12"/>
      <c r="P136" s="12"/>
      <c r="Q136" s="18"/>
      <c r="R136" s="17" t="str">
        <f aca="false">IF(OR(B136="",Q136=""),"",(Q136-B136)*24)</f>
        <v/>
      </c>
      <c r="S136" s="11" t="str">
        <f aca="false">IF(OR(N136="",Q136=""),"",IF(Q136&lt;=N136,"Sim","Não"))</f>
        <v/>
      </c>
      <c r="T136" s="19"/>
      <c r="U136" s="12"/>
      <c r="V136" s="12"/>
    </row>
    <row r="137" customFormat="false" ht="15" hidden="false" customHeight="false" outlineLevel="0" collapsed="false">
      <c r="A137" s="12"/>
      <c r="B137" s="18"/>
      <c r="C137" s="12"/>
      <c r="D137" s="11" t="str">
        <f aca="false">IF(C137="","",IFERROR(INDEX(Unidades!$B$2:$B$218,MATCH(C137,Unidades!$A$2:$A$218,0)),"Código não encontrado"))</f>
        <v/>
      </c>
      <c r="E137" s="11" t="str">
        <f aca="false">IF(C137="","",IFERROR(INDEX(Unidades!$C$2:$C$218,MATCH(C137,Unidades!$A$2:$A$218,0)),""))</f>
        <v/>
      </c>
      <c r="F137" s="12"/>
      <c r="G137" s="12"/>
      <c r="H137" s="12"/>
      <c r="I137" s="12"/>
      <c r="J137" s="12"/>
      <c r="K137" s="19"/>
      <c r="L137" s="12"/>
      <c r="M137" s="11" t="str">
        <f aca="false">IF(L137="","",IFERROR(INDEX(Prioridade_SLA!$B$2:$B$5,MATCH(L137,Prioridade_SLA!$A$2:$A$5,0)),""))</f>
        <v/>
      </c>
      <c r="N137" s="16" t="str">
        <f aca="false">IF(OR(B137="",M137=""),"",B137+M137/24)</f>
        <v/>
      </c>
      <c r="O137" s="12"/>
      <c r="P137" s="12"/>
      <c r="Q137" s="18"/>
      <c r="R137" s="17" t="str">
        <f aca="false">IF(OR(B137="",Q137=""),"",(Q137-B137)*24)</f>
        <v/>
      </c>
      <c r="S137" s="11" t="str">
        <f aca="false">IF(OR(N137="",Q137=""),"",IF(Q137&lt;=N137,"Sim","Não"))</f>
        <v/>
      </c>
      <c r="T137" s="19"/>
      <c r="U137" s="12"/>
      <c r="V137" s="12"/>
    </row>
    <row r="138" customFormat="false" ht="15" hidden="false" customHeight="false" outlineLevel="0" collapsed="false">
      <c r="A138" s="12"/>
      <c r="B138" s="18"/>
      <c r="C138" s="12"/>
      <c r="D138" s="11" t="str">
        <f aca="false">IF(C138="","",IFERROR(INDEX(Unidades!$B$2:$B$218,MATCH(C138,Unidades!$A$2:$A$218,0)),"Código não encontrado"))</f>
        <v/>
      </c>
      <c r="E138" s="11" t="str">
        <f aca="false">IF(C138="","",IFERROR(INDEX(Unidades!$C$2:$C$218,MATCH(C138,Unidades!$A$2:$A$218,0)),""))</f>
        <v/>
      </c>
      <c r="F138" s="12"/>
      <c r="G138" s="12"/>
      <c r="H138" s="12"/>
      <c r="I138" s="12"/>
      <c r="J138" s="12"/>
      <c r="K138" s="19"/>
      <c r="L138" s="12"/>
      <c r="M138" s="11" t="str">
        <f aca="false">IF(L138="","",IFERROR(INDEX(Prioridade_SLA!$B$2:$B$5,MATCH(L138,Prioridade_SLA!$A$2:$A$5,0)),""))</f>
        <v/>
      </c>
      <c r="N138" s="16" t="str">
        <f aca="false">IF(OR(B138="",M138=""),"",B138+M138/24)</f>
        <v/>
      </c>
      <c r="O138" s="12"/>
      <c r="P138" s="12"/>
      <c r="Q138" s="18"/>
      <c r="R138" s="17" t="str">
        <f aca="false">IF(OR(B138="",Q138=""),"",(Q138-B138)*24)</f>
        <v/>
      </c>
      <c r="S138" s="11" t="str">
        <f aca="false">IF(OR(N138="",Q138=""),"",IF(Q138&lt;=N138,"Sim","Não"))</f>
        <v/>
      </c>
      <c r="T138" s="19"/>
      <c r="U138" s="12"/>
      <c r="V138" s="12"/>
    </row>
    <row r="139" customFormat="false" ht="15" hidden="false" customHeight="false" outlineLevel="0" collapsed="false">
      <c r="A139" s="12"/>
      <c r="B139" s="18"/>
      <c r="C139" s="12"/>
      <c r="D139" s="11" t="str">
        <f aca="false">IF(C139="","",IFERROR(INDEX(Unidades!$B$2:$B$218,MATCH(C139,Unidades!$A$2:$A$218,0)),"Código não encontrado"))</f>
        <v/>
      </c>
      <c r="E139" s="11" t="str">
        <f aca="false">IF(C139="","",IFERROR(INDEX(Unidades!$C$2:$C$218,MATCH(C139,Unidades!$A$2:$A$218,0)),""))</f>
        <v/>
      </c>
      <c r="F139" s="12"/>
      <c r="G139" s="12"/>
      <c r="H139" s="12"/>
      <c r="I139" s="12"/>
      <c r="J139" s="12"/>
      <c r="K139" s="19"/>
      <c r="L139" s="12"/>
      <c r="M139" s="11" t="str">
        <f aca="false">IF(L139="","",IFERROR(INDEX(Prioridade_SLA!$B$2:$B$5,MATCH(L139,Prioridade_SLA!$A$2:$A$5,0)),""))</f>
        <v/>
      </c>
      <c r="N139" s="16" t="str">
        <f aca="false">IF(OR(B139="",M139=""),"",B139+M139/24)</f>
        <v/>
      </c>
      <c r="O139" s="12"/>
      <c r="P139" s="12"/>
      <c r="Q139" s="18"/>
      <c r="R139" s="17" t="str">
        <f aca="false">IF(OR(B139="",Q139=""),"",(Q139-B139)*24)</f>
        <v/>
      </c>
      <c r="S139" s="11" t="str">
        <f aca="false">IF(OR(N139="",Q139=""),"",IF(Q139&lt;=N139,"Sim","Não"))</f>
        <v/>
      </c>
      <c r="T139" s="19"/>
      <c r="U139" s="12"/>
      <c r="V139" s="12"/>
    </row>
    <row r="140" customFormat="false" ht="15" hidden="false" customHeight="false" outlineLevel="0" collapsed="false">
      <c r="A140" s="12"/>
      <c r="B140" s="18"/>
      <c r="C140" s="12"/>
      <c r="D140" s="11" t="str">
        <f aca="false">IF(C140="","",IFERROR(INDEX(Unidades!$B$2:$B$218,MATCH(C140,Unidades!$A$2:$A$218,0)),"Código não encontrado"))</f>
        <v/>
      </c>
      <c r="E140" s="11" t="str">
        <f aca="false">IF(C140="","",IFERROR(INDEX(Unidades!$C$2:$C$218,MATCH(C140,Unidades!$A$2:$A$218,0)),""))</f>
        <v/>
      </c>
      <c r="F140" s="12"/>
      <c r="G140" s="12"/>
      <c r="H140" s="12"/>
      <c r="I140" s="12"/>
      <c r="J140" s="12"/>
      <c r="K140" s="19"/>
      <c r="L140" s="12"/>
      <c r="M140" s="11" t="str">
        <f aca="false">IF(L140="","",IFERROR(INDEX(Prioridade_SLA!$B$2:$B$5,MATCH(L140,Prioridade_SLA!$A$2:$A$5,0)),""))</f>
        <v/>
      </c>
      <c r="N140" s="16" t="str">
        <f aca="false">IF(OR(B140="",M140=""),"",B140+M140/24)</f>
        <v/>
      </c>
      <c r="O140" s="12"/>
      <c r="P140" s="12"/>
      <c r="Q140" s="18"/>
      <c r="R140" s="17" t="str">
        <f aca="false">IF(OR(B140="",Q140=""),"",(Q140-B140)*24)</f>
        <v/>
      </c>
      <c r="S140" s="11" t="str">
        <f aca="false">IF(OR(N140="",Q140=""),"",IF(Q140&lt;=N140,"Sim","Não"))</f>
        <v/>
      </c>
      <c r="T140" s="19"/>
      <c r="U140" s="12"/>
      <c r="V140" s="12"/>
    </row>
    <row r="141" customFormat="false" ht="15" hidden="false" customHeight="false" outlineLevel="0" collapsed="false">
      <c r="A141" s="12"/>
      <c r="B141" s="18"/>
      <c r="C141" s="12"/>
      <c r="D141" s="11" t="str">
        <f aca="false">IF(C141="","",IFERROR(INDEX(Unidades!$B$2:$B$218,MATCH(C141,Unidades!$A$2:$A$218,0)),"Código não encontrado"))</f>
        <v/>
      </c>
      <c r="E141" s="11" t="str">
        <f aca="false">IF(C141="","",IFERROR(INDEX(Unidades!$C$2:$C$218,MATCH(C141,Unidades!$A$2:$A$218,0)),""))</f>
        <v/>
      </c>
      <c r="F141" s="12"/>
      <c r="G141" s="12"/>
      <c r="H141" s="12"/>
      <c r="I141" s="12"/>
      <c r="J141" s="12"/>
      <c r="K141" s="19"/>
      <c r="L141" s="12"/>
      <c r="M141" s="11" t="str">
        <f aca="false">IF(L141="","",IFERROR(INDEX(Prioridade_SLA!$B$2:$B$5,MATCH(L141,Prioridade_SLA!$A$2:$A$5,0)),""))</f>
        <v/>
      </c>
      <c r="N141" s="16" t="str">
        <f aca="false">IF(OR(B141="",M141=""),"",B141+M141/24)</f>
        <v/>
      </c>
      <c r="O141" s="12"/>
      <c r="P141" s="12"/>
      <c r="Q141" s="18"/>
      <c r="R141" s="17" t="str">
        <f aca="false">IF(OR(B141="",Q141=""),"",(Q141-B141)*24)</f>
        <v/>
      </c>
      <c r="S141" s="11" t="str">
        <f aca="false">IF(OR(N141="",Q141=""),"",IF(Q141&lt;=N141,"Sim","Não"))</f>
        <v/>
      </c>
      <c r="T141" s="19"/>
      <c r="U141" s="12"/>
      <c r="V141" s="12"/>
    </row>
    <row r="142" customFormat="false" ht="15" hidden="false" customHeight="false" outlineLevel="0" collapsed="false">
      <c r="A142" s="12"/>
      <c r="B142" s="18"/>
      <c r="C142" s="12"/>
      <c r="D142" s="11" t="str">
        <f aca="false">IF(C142="","",IFERROR(INDEX(Unidades!$B$2:$B$218,MATCH(C142,Unidades!$A$2:$A$218,0)),"Código não encontrado"))</f>
        <v/>
      </c>
      <c r="E142" s="11" t="str">
        <f aca="false">IF(C142="","",IFERROR(INDEX(Unidades!$C$2:$C$218,MATCH(C142,Unidades!$A$2:$A$218,0)),""))</f>
        <v/>
      </c>
      <c r="F142" s="12"/>
      <c r="G142" s="12"/>
      <c r="H142" s="12"/>
      <c r="I142" s="12"/>
      <c r="J142" s="12"/>
      <c r="K142" s="19"/>
      <c r="L142" s="12"/>
      <c r="M142" s="11" t="str">
        <f aca="false">IF(L142="","",IFERROR(INDEX(Prioridade_SLA!$B$2:$B$5,MATCH(L142,Prioridade_SLA!$A$2:$A$5,0)),""))</f>
        <v/>
      </c>
      <c r="N142" s="16" t="str">
        <f aca="false">IF(OR(B142="",M142=""),"",B142+M142/24)</f>
        <v/>
      </c>
      <c r="O142" s="12"/>
      <c r="P142" s="12"/>
      <c r="Q142" s="18"/>
      <c r="R142" s="17" t="str">
        <f aca="false">IF(OR(B142="",Q142=""),"",(Q142-B142)*24)</f>
        <v/>
      </c>
      <c r="S142" s="11" t="str">
        <f aca="false">IF(OR(N142="",Q142=""),"",IF(Q142&lt;=N142,"Sim","Não"))</f>
        <v/>
      </c>
      <c r="T142" s="19"/>
      <c r="U142" s="12"/>
      <c r="V142" s="12"/>
    </row>
    <row r="143" customFormat="false" ht="15" hidden="false" customHeight="false" outlineLevel="0" collapsed="false">
      <c r="A143" s="12"/>
      <c r="B143" s="18"/>
      <c r="C143" s="12"/>
      <c r="D143" s="11" t="str">
        <f aca="false">IF(C143="","",IFERROR(INDEX(Unidades!$B$2:$B$218,MATCH(C143,Unidades!$A$2:$A$218,0)),"Código não encontrado"))</f>
        <v/>
      </c>
      <c r="E143" s="11" t="str">
        <f aca="false">IF(C143="","",IFERROR(INDEX(Unidades!$C$2:$C$218,MATCH(C143,Unidades!$A$2:$A$218,0)),""))</f>
        <v/>
      </c>
      <c r="F143" s="12"/>
      <c r="G143" s="12"/>
      <c r="H143" s="12"/>
      <c r="I143" s="12"/>
      <c r="J143" s="12"/>
      <c r="K143" s="19"/>
      <c r="L143" s="12"/>
      <c r="M143" s="11" t="str">
        <f aca="false">IF(L143="","",IFERROR(INDEX(Prioridade_SLA!$B$2:$B$5,MATCH(L143,Prioridade_SLA!$A$2:$A$5,0)),""))</f>
        <v/>
      </c>
      <c r="N143" s="16" t="str">
        <f aca="false">IF(OR(B143="",M143=""),"",B143+M143/24)</f>
        <v/>
      </c>
      <c r="O143" s="12"/>
      <c r="P143" s="12"/>
      <c r="Q143" s="18"/>
      <c r="R143" s="17" t="str">
        <f aca="false">IF(OR(B143="",Q143=""),"",(Q143-B143)*24)</f>
        <v/>
      </c>
      <c r="S143" s="11" t="str">
        <f aca="false">IF(OR(N143="",Q143=""),"",IF(Q143&lt;=N143,"Sim","Não"))</f>
        <v/>
      </c>
      <c r="T143" s="19"/>
      <c r="U143" s="12"/>
      <c r="V143" s="12"/>
    </row>
    <row r="144" customFormat="false" ht="15" hidden="false" customHeight="false" outlineLevel="0" collapsed="false">
      <c r="A144" s="12"/>
      <c r="B144" s="18"/>
      <c r="C144" s="12"/>
      <c r="D144" s="11" t="str">
        <f aca="false">IF(C144="","",IFERROR(INDEX(Unidades!$B$2:$B$218,MATCH(C144,Unidades!$A$2:$A$218,0)),"Código não encontrado"))</f>
        <v/>
      </c>
      <c r="E144" s="11" t="str">
        <f aca="false">IF(C144="","",IFERROR(INDEX(Unidades!$C$2:$C$218,MATCH(C144,Unidades!$A$2:$A$218,0)),""))</f>
        <v/>
      </c>
      <c r="F144" s="12"/>
      <c r="G144" s="12"/>
      <c r="H144" s="12"/>
      <c r="I144" s="12"/>
      <c r="J144" s="12"/>
      <c r="K144" s="19"/>
      <c r="L144" s="12"/>
      <c r="M144" s="11" t="str">
        <f aca="false">IF(L144="","",IFERROR(INDEX(Prioridade_SLA!$B$2:$B$5,MATCH(L144,Prioridade_SLA!$A$2:$A$5,0)),""))</f>
        <v/>
      </c>
      <c r="N144" s="16" t="str">
        <f aca="false">IF(OR(B144="",M144=""),"",B144+M144/24)</f>
        <v/>
      </c>
      <c r="O144" s="12"/>
      <c r="P144" s="12"/>
      <c r="Q144" s="18"/>
      <c r="R144" s="17" t="str">
        <f aca="false">IF(OR(B144="",Q144=""),"",(Q144-B144)*24)</f>
        <v/>
      </c>
      <c r="S144" s="11" t="str">
        <f aca="false">IF(OR(N144="",Q144=""),"",IF(Q144&lt;=N144,"Sim","Não"))</f>
        <v/>
      </c>
      <c r="T144" s="19"/>
      <c r="U144" s="12"/>
      <c r="V144" s="12"/>
    </row>
    <row r="145" customFormat="false" ht="15" hidden="false" customHeight="false" outlineLevel="0" collapsed="false">
      <c r="A145" s="12"/>
      <c r="B145" s="18"/>
      <c r="C145" s="12"/>
      <c r="D145" s="11" t="str">
        <f aca="false">IF(C145="","",IFERROR(INDEX(Unidades!$B$2:$B$218,MATCH(C145,Unidades!$A$2:$A$218,0)),"Código não encontrado"))</f>
        <v/>
      </c>
      <c r="E145" s="11" t="str">
        <f aca="false">IF(C145="","",IFERROR(INDEX(Unidades!$C$2:$C$218,MATCH(C145,Unidades!$A$2:$A$218,0)),""))</f>
        <v/>
      </c>
      <c r="F145" s="12"/>
      <c r="G145" s="12"/>
      <c r="H145" s="12"/>
      <c r="I145" s="12"/>
      <c r="J145" s="12"/>
      <c r="K145" s="19"/>
      <c r="L145" s="12"/>
      <c r="M145" s="11" t="str">
        <f aca="false">IF(L145="","",IFERROR(INDEX(Prioridade_SLA!$B$2:$B$5,MATCH(L145,Prioridade_SLA!$A$2:$A$5,0)),""))</f>
        <v/>
      </c>
      <c r="N145" s="16" t="str">
        <f aca="false">IF(OR(B145="",M145=""),"",B145+M145/24)</f>
        <v/>
      </c>
      <c r="O145" s="12"/>
      <c r="P145" s="12"/>
      <c r="Q145" s="18"/>
      <c r="R145" s="17" t="str">
        <f aca="false">IF(OR(B145="",Q145=""),"",(Q145-B145)*24)</f>
        <v/>
      </c>
      <c r="S145" s="11" t="str">
        <f aca="false">IF(OR(N145="",Q145=""),"",IF(Q145&lt;=N145,"Sim","Não"))</f>
        <v/>
      </c>
      <c r="T145" s="19"/>
      <c r="U145" s="12"/>
      <c r="V145" s="12"/>
    </row>
    <row r="146" customFormat="false" ht="15" hidden="false" customHeight="false" outlineLevel="0" collapsed="false">
      <c r="A146" s="12"/>
      <c r="B146" s="18"/>
      <c r="C146" s="12"/>
      <c r="D146" s="11" t="str">
        <f aca="false">IF(C146="","",IFERROR(INDEX(Unidades!$B$2:$B$218,MATCH(C146,Unidades!$A$2:$A$218,0)),"Código não encontrado"))</f>
        <v/>
      </c>
      <c r="E146" s="11" t="str">
        <f aca="false">IF(C146="","",IFERROR(INDEX(Unidades!$C$2:$C$218,MATCH(C146,Unidades!$A$2:$A$218,0)),""))</f>
        <v/>
      </c>
      <c r="F146" s="12"/>
      <c r="G146" s="12"/>
      <c r="H146" s="12"/>
      <c r="I146" s="12"/>
      <c r="J146" s="12"/>
      <c r="K146" s="19"/>
      <c r="L146" s="12"/>
      <c r="M146" s="11" t="str">
        <f aca="false">IF(L146="","",IFERROR(INDEX(Prioridade_SLA!$B$2:$B$5,MATCH(L146,Prioridade_SLA!$A$2:$A$5,0)),""))</f>
        <v/>
      </c>
      <c r="N146" s="16" t="str">
        <f aca="false">IF(OR(B146="",M146=""),"",B146+M146/24)</f>
        <v/>
      </c>
      <c r="O146" s="12"/>
      <c r="P146" s="12"/>
      <c r="Q146" s="18"/>
      <c r="R146" s="17" t="str">
        <f aca="false">IF(OR(B146="",Q146=""),"",(Q146-B146)*24)</f>
        <v/>
      </c>
      <c r="S146" s="11" t="str">
        <f aca="false">IF(OR(N146="",Q146=""),"",IF(Q146&lt;=N146,"Sim","Não"))</f>
        <v/>
      </c>
      <c r="T146" s="19"/>
      <c r="U146" s="12"/>
      <c r="V146" s="12"/>
    </row>
    <row r="147" customFormat="false" ht="15" hidden="false" customHeight="false" outlineLevel="0" collapsed="false">
      <c r="A147" s="12"/>
      <c r="B147" s="18"/>
      <c r="C147" s="12"/>
      <c r="D147" s="11" t="str">
        <f aca="false">IF(C147="","",IFERROR(INDEX(Unidades!$B$2:$B$218,MATCH(C147,Unidades!$A$2:$A$218,0)),"Código não encontrado"))</f>
        <v/>
      </c>
      <c r="E147" s="11" t="str">
        <f aca="false">IF(C147="","",IFERROR(INDEX(Unidades!$C$2:$C$218,MATCH(C147,Unidades!$A$2:$A$218,0)),""))</f>
        <v/>
      </c>
      <c r="F147" s="12"/>
      <c r="G147" s="12"/>
      <c r="H147" s="12"/>
      <c r="I147" s="12"/>
      <c r="J147" s="12"/>
      <c r="K147" s="19"/>
      <c r="L147" s="12"/>
      <c r="M147" s="11" t="str">
        <f aca="false">IF(L147="","",IFERROR(INDEX(Prioridade_SLA!$B$2:$B$5,MATCH(L147,Prioridade_SLA!$A$2:$A$5,0)),""))</f>
        <v/>
      </c>
      <c r="N147" s="16" t="str">
        <f aca="false">IF(OR(B147="",M147=""),"",B147+M147/24)</f>
        <v/>
      </c>
      <c r="O147" s="12"/>
      <c r="P147" s="12"/>
      <c r="Q147" s="18"/>
      <c r="R147" s="17" t="str">
        <f aca="false">IF(OR(B147="",Q147=""),"",(Q147-B147)*24)</f>
        <v/>
      </c>
      <c r="S147" s="11" t="str">
        <f aca="false">IF(OR(N147="",Q147=""),"",IF(Q147&lt;=N147,"Sim","Não"))</f>
        <v/>
      </c>
      <c r="T147" s="19"/>
      <c r="U147" s="12"/>
      <c r="V147" s="12"/>
    </row>
    <row r="148" customFormat="false" ht="15" hidden="false" customHeight="false" outlineLevel="0" collapsed="false">
      <c r="A148" s="12"/>
      <c r="B148" s="18"/>
      <c r="C148" s="12"/>
      <c r="D148" s="11" t="str">
        <f aca="false">IF(C148="","",IFERROR(INDEX(Unidades!$B$2:$B$218,MATCH(C148,Unidades!$A$2:$A$218,0)),"Código não encontrado"))</f>
        <v/>
      </c>
      <c r="E148" s="11" t="str">
        <f aca="false">IF(C148="","",IFERROR(INDEX(Unidades!$C$2:$C$218,MATCH(C148,Unidades!$A$2:$A$218,0)),""))</f>
        <v/>
      </c>
      <c r="F148" s="12"/>
      <c r="G148" s="12"/>
      <c r="H148" s="12"/>
      <c r="I148" s="12"/>
      <c r="J148" s="12"/>
      <c r="K148" s="19"/>
      <c r="L148" s="12"/>
      <c r="M148" s="11" t="str">
        <f aca="false">IF(L148="","",IFERROR(INDEX(Prioridade_SLA!$B$2:$B$5,MATCH(L148,Prioridade_SLA!$A$2:$A$5,0)),""))</f>
        <v/>
      </c>
      <c r="N148" s="16" t="str">
        <f aca="false">IF(OR(B148="",M148=""),"",B148+M148/24)</f>
        <v/>
      </c>
      <c r="O148" s="12"/>
      <c r="P148" s="12"/>
      <c r="Q148" s="18"/>
      <c r="R148" s="17" t="str">
        <f aca="false">IF(OR(B148="",Q148=""),"",(Q148-B148)*24)</f>
        <v/>
      </c>
      <c r="S148" s="11" t="str">
        <f aca="false">IF(OR(N148="",Q148=""),"",IF(Q148&lt;=N148,"Sim","Não"))</f>
        <v/>
      </c>
      <c r="T148" s="19"/>
      <c r="U148" s="12"/>
      <c r="V148" s="12"/>
    </row>
    <row r="149" customFormat="false" ht="15" hidden="false" customHeight="false" outlineLevel="0" collapsed="false">
      <c r="A149" s="12"/>
      <c r="B149" s="18"/>
      <c r="C149" s="12"/>
      <c r="D149" s="11" t="str">
        <f aca="false">IF(C149="","",IFERROR(INDEX(Unidades!$B$2:$B$218,MATCH(C149,Unidades!$A$2:$A$218,0)),"Código não encontrado"))</f>
        <v/>
      </c>
      <c r="E149" s="11" t="str">
        <f aca="false">IF(C149="","",IFERROR(INDEX(Unidades!$C$2:$C$218,MATCH(C149,Unidades!$A$2:$A$218,0)),""))</f>
        <v/>
      </c>
      <c r="F149" s="12"/>
      <c r="G149" s="12"/>
      <c r="H149" s="12"/>
      <c r="I149" s="12"/>
      <c r="J149" s="12"/>
      <c r="K149" s="19"/>
      <c r="L149" s="12"/>
      <c r="M149" s="11" t="str">
        <f aca="false">IF(L149="","",IFERROR(INDEX(Prioridade_SLA!$B$2:$B$5,MATCH(L149,Prioridade_SLA!$A$2:$A$5,0)),""))</f>
        <v/>
      </c>
      <c r="N149" s="16" t="str">
        <f aca="false">IF(OR(B149="",M149=""),"",B149+M149/24)</f>
        <v/>
      </c>
      <c r="O149" s="12"/>
      <c r="P149" s="12"/>
      <c r="Q149" s="18"/>
      <c r="R149" s="17" t="str">
        <f aca="false">IF(OR(B149="",Q149=""),"",(Q149-B149)*24)</f>
        <v/>
      </c>
      <c r="S149" s="11" t="str">
        <f aca="false">IF(OR(N149="",Q149=""),"",IF(Q149&lt;=N149,"Sim","Não"))</f>
        <v/>
      </c>
      <c r="T149" s="19"/>
      <c r="U149" s="12"/>
      <c r="V149" s="12"/>
    </row>
    <row r="150" customFormat="false" ht="15" hidden="false" customHeight="false" outlineLevel="0" collapsed="false">
      <c r="A150" s="12"/>
      <c r="B150" s="18"/>
      <c r="C150" s="12"/>
      <c r="D150" s="11" t="str">
        <f aca="false">IF(C150="","",IFERROR(INDEX(Unidades!$B$2:$B$218,MATCH(C150,Unidades!$A$2:$A$218,0)),"Código não encontrado"))</f>
        <v/>
      </c>
      <c r="E150" s="11" t="str">
        <f aca="false">IF(C150="","",IFERROR(INDEX(Unidades!$C$2:$C$218,MATCH(C150,Unidades!$A$2:$A$218,0)),""))</f>
        <v/>
      </c>
      <c r="F150" s="12"/>
      <c r="G150" s="12"/>
      <c r="H150" s="12"/>
      <c r="I150" s="12"/>
      <c r="J150" s="12"/>
      <c r="K150" s="19"/>
      <c r="L150" s="12"/>
      <c r="M150" s="11" t="str">
        <f aca="false">IF(L150="","",IFERROR(INDEX(Prioridade_SLA!$B$2:$B$5,MATCH(L150,Prioridade_SLA!$A$2:$A$5,0)),""))</f>
        <v/>
      </c>
      <c r="N150" s="16" t="str">
        <f aca="false">IF(OR(B150="",M150=""),"",B150+M150/24)</f>
        <v/>
      </c>
      <c r="O150" s="12"/>
      <c r="P150" s="12"/>
      <c r="Q150" s="18"/>
      <c r="R150" s="17" t="str">
        <f aca="false">IF(OR(B150="",Q150=""),"",(Q150-B150)*24)</f>
        <v/>
      </c>
      <c r="S150" s="11" t="str">
        <f aca="false">IF(OR(N150="",Q150=""),"",IF(Q150&lt;=N150,"Sim","Não"))</f>
        <v/>
      </c>
      <c r="T150" s="19"/>
      <c r="U150" s="12"/>
      <c r="V150" s="12"/>
    </row>
    <row r="151" customFormat="false" ht="15" hidden="false" customHeight="false" outlineLevel="0" collapsed="false">
      <c r="A151" s="12"/>
      <c r="B151" s="18"/>
      <c r="C151" s="12"/>
      <c r="D151" s="11" t="str">
        <f aca="false">IF(C151="","",IFERROR(INDEX(Unidades!$B$2:$B$218,MATCH(C151,Unidades!$A$2:$A$218,0)),"Código não encontrado"))</f>
        <v/>
      </c>
      <c r="E151" s="11" t="str">
        <f aca="false">IF(C151="","",IFERROR(INDEX(Unidades!$C$2:$C$218,MATCH(C151,Unidades!$A$2:$A$218,0)),""))</f>
        <v/>
      </c>
      <c r="F151" s="12"/>
      <c r="G151" s="12"/>
      <c r="H151" s="12"/>
      <c r="I151" s="12"/>
      <c r="J151" s="12"/>
      <c r="K151" s="19"/>
      <c r="L151" s="12"/>
      <c r="M151" s="11" t="str">
        <f aca="false">IF(L151="","",IFERROR(INDEX(Prioridade_SLA!$B$2:$B$5,MATCH(L151,Prioridade_SLA!$A$2:$A$5,0)),""))</f>
        <v/>
      </c>
      <c r="N151" s="16" t="str">
        <f aca="false">IF(OR(B151="",M151=""),"",B151+M151/24)</f>
        <v/>
      </c>
      <c r="O151" s="12"/>
      <c r="P151" s="12"/>
      <c r="Q151" s="18"/>
      <c r="R151" s="17" t="str">
        <f aca="false">IF(OR(B151="",Q151=""),"",(Q151-B151)*24)</f>
        <v/>
      </c>
      <c r="S151" s="11" t="str">
        <f aca="false">IF(OR(N151="",Q151=""),"",IF(Q151&lt;=N151,"Sim","Não"))</f>
        <v/>
      </c>
      <c r="T151" s="19"/>
      <c r="U151" s="12"/>
      <c r="V151" s="12"/>
    </row>
    <row r="152" customFormat="false" ht="15" hidden="false" customHeight="false" outlineLevel="0" collapsed="false">
      <c r="A152" s="12"/>
      <c r="B152" s="18"/>
      <c r="C152" s="12"/>
      <c r="D152" s="11" t="str">
        <f aca="false">IF(C152="","",IFERROR(INDEX(Unidades!$B$2:$B$218,MATCH(C152,Unidades!$A$2:$A$218,0)),"Código não encontrado"))</f>
        <v/>
      </c>
      <c r="E152" s="11" t="str">
        <f aca="false">IF(C152="","",IFERROR(INDEX(Unidades!$C$2:$C$218,MATCH(C152,Unidades!$A$2:$A$218,0)),""))</f>
        <v/>
      </c>
      <c r="F152" s="12"/>
      <c r="G152" s="12"/>
      <c r="H152" s="12"/>
      <c r="I152" s="12"/>
      <c r="J152" s="12"/>
      <c r="K152" s="19"/>
      <c r="L152" s="12"/>
      <c r="M152" s="11" t="str">
        <f aca="false">IF(L152="","",IFERROR(INDEX(Prioridade_SLA!$B$2:$B$5,MATCH(L152,Prioridade_SLA!$A$2:$A$5,0)),""))</f>
        <v/>
      </c>
      <c r="N152" s="16" t="str">
        <f aca="false">IF(OR(B152="",M152=""),"",B152+M152/24)</f>
        <v/>
      </c>
      <c r="O152" s="12"/>
      <c r="P152" s="12"/>
      <c r="Q152" s="18"/>
      <c r="R152" s="17" t="str">
        <f aca="false">IF(OR(B152="",Q152=""),"",(Q152-B152)*24)</f>
        <v/>
      </c>
      <c r="S152" s="11" t="str">
        <f aca="false">IF(OR(N152="",Q152=""),"",IF(Q152&lt;=N152,"Sim","Não"))</f>
        <v/>
      </c>
      <c r="T152" s="19"/>
      <c r="U152" s="12"/>
      <c r="V152" s="12"/>
    </row>
    <row r="153" customFormat="false" ht="15" hidden="false" customHeight="false" outlineLevel="0" collapsed="false">
      <c r="A153" s="12"/>
      <c r="B153" s="18"/>
      <c r="C153" s="12"/>
      <c r="D153" s="11" t="str">
        <f aca="false">IF(C153="","",IFERROR(INDEX(Unidades!$B$2:$B$218,MATCH(C153,Unidades!$A$2:$A$218,0)),"Código não encontrado"))</f>
        <v/>
      </c>
      <c r="E153" s="11" t="str">
        <f aca="false">IF(C153="","",IFERROR(INDEX(Unidades!$C$2:$C$218,MATCH(C153,Unidades!$A$2:$A$218,0)),""))</f>
        <v/>
      </c>
      <c r="F153" s="12"/>
      <c r="G153" s="12"/>
      <c r="H153" s="12"/>
      <c r="I153" s="12"/>
      <c r="J153" s="12"/>
      <c r="K153" s="19"/>
      <c r="L153" s="12"/>
      <c r="M153" s="11" t="str">
        <f aca="false">IF(L153="","",IFERROR(INDEX(Prioridade_SLA!$B$2:$B$5,MATCH(L153,Prioridade_SLA!$A$2:$A$5,0)),""))</f>
        <v/>
      </c>
      <c r="N153" s="16" t="str">
        <f aca="false">IF(OR(B153="",M153=""),"",B153+M153/24)</f>
        <v/>
      </c>
      <c r="O153" s="12"/>
      <c r="P153" s="12"/>
      <c r="Q153" s="18"/>
      <c r="R153" s="17" t="str">
        <f aca="false">IF(OR(B153="",Q153=""),"",(Q153-B153)*24)</f>
        <v/>
      </c>
      <c r="S153" s="11" t="str">
        <f aca="false">IF(OR(N153="",Q153=""),"",IF(Q153&lt;=N153,"Sim","Não"))</f>
        <v/>
      </c>
      <c r="T153" s="19"/>
      <c r="U153" s="12"/>
      <c r="V153" s="12"/>
    </row>
    <row r="154" customFormat="false" ht="15" hidden="false" customHeight="false" outlineLevel="0" collapsed="false">
      <c r="A154" s="12"/>
      <c r="B154" s="18"/>
      <c r="C154" s="12"/>
      <c r="D154" s="11" t="str">
        <f aca="false">IF(C154="","",IFERROR(INDEX(Unidades!$B$2:$B$218,MATCH(C154,Unidades!$A$2:$A$218,0)),"Código não encontrado"))</f>
        <v/>
      </c>
      <c r="E154" s="11" t="str">
        <f aca="false">IF(C154="","",IFERROR(INDEX(Unidades!$C$2:$C$218,MATCH(C154,Unidades!$A$2:$A$218,0)),""))</f>
        <v/>
      </c>
      <c r="F154" s="12"/>
      <c r="G154" s="12"/>
      <c r="H154" s="12"/>
      <c r="I154" s="12"/>
      <c r="J154" s="12"/>
      <c r="K154" s="19"/>
      <c r="L154" s="12"/>
      <c r="M154" s="11" t="str">
        <f aca="false">IF(L154="","",IFERROR(INDEX(Prioridade_SLA!$B$2:$B$5,MATCH(L154,Prioridade_SLA!$A$2:$A$5,0)),""))</f>
        <v/>
      </c>
      <c r="N154" s="16" t="str">
        <f aca="false">IF(OR(B154="",M154=""),"",B154+M154/24)</f>
        <v/>
      </c>
      <c r="O154" s="12"/>
      <c r="P154" s="12"/>
      <c r="Q154" s="18"/>
      <c r="R154" s="17" t="str">
        <f aca="false">IF(OR(B154="",Q154=""),"",(Q154-B154)*24)</f>
        <v/>
      </c>
      <c r="S154" s="11" t="str">
        <f aca="false">IF(OR(N154="",Q154=""),"",IF(Q154&lt;=N154,"Sim","Não"))</f>
        <v/>
      </c>
      <c r="T154" s="19"/>
      <c r="U154" s="12"/>
      <c r="V154" s="12"/>
    </row>
    <row r="155" customFormat="false" ht="15" hidden="false" customHeight="false" outlineLevel="0" collapsed="false">
      <c r="A155" s="12"/>
      <c r="B155" s="18"/>
      <c r="C155" s="12"/>
      <c r="D155" s="11" t="str">
        <f aca="false">IF(C155="","",IFERROR(INDEX(Unidades!$B$2:$B$218,MATCH(C155,Unidades!$A$2:$A$218,0)),"Código não encontrado"))</f>
        <v/>
      </c>
      <c r="E155" s="11" t="str">
        <f aca="false">IF(C155="","",IFERROR(INDEX(Unidades!$C$2:$C$218,MATCH(C155,Unidades!$A$2:$A$218,0)),""))</f>
        <v/>
      </c>
      <c r="F155" s="12"/>
      <c r="G155" s="12"/>
      <c r="H155" s="12"/>
      <c r="I155" s="12"/>
      <c r="J155" s="12"/>
      <c r="K155" s="19"/>
      <c r="L155" s="12"/>
      <c r="M155" s="11" t="str">
        <f aca="false">IF(L155="","",IFERROR(INDEX(Prioridade_SLA!$B$2:$B$5,MATCH(L155,Prioridade_SLA!$A$2:$A$5,0)),""))</f>
        <v/>
      </c>
      <c r="N155" s="16" t="str">
        <f aca="false">IF(OR(B155="",M155=""),"",B155+M155/24)</f>
        <v/>
      </c>
      <c r="O155" s="12"/>
      <c r="P155" s="12"/>
      <c r="Q155" s="18"/>
      <c r="R155" s="17" t="str">
        <f aca="false">IF(OR(B155="",Q155=""),"",(Q155-B155)*24)</f>
        <v/>
      </c>
      <c r="S155" s="11" t="str">
        <f aca="false">IF(OR(N155="",Q155=""),"",IF(Q155&lt;=N155,"Sim","Não"))</f>
        <v/>
      </c>
      <c r="T155" s="19"/>
      <c r="U155" s="12"/>
      <c r="V155" s="12"/>
    </row>
    <row r="156" customFormat="false" ht="15" hidden="false" customHeight="false" outlineLevel="0" collapsed="false">
      <c r="A156" s="12"/>
      <c r="B156" s="18"/>
      <c r="C156" s="12"/>
      <c r="D156" s="11" t="str">
        <f aca="false">IF(C156="","",IFERROR(INDEX(Unidades!$B$2:$B$218,MATCH(C156,Unidades!$A$2:$A$218,0)),"Código não encontrado"))</f>
        <v/>
      </c>
      <c r="E156" s="11" t="str">
        <f aca="false">IF(C156="","",IFERROR(INDEX(Unidades!$C$2:$C$218,MATCH(C156,Unidades!$A$2:$A$218,0)),""))</f>
        <v/>
      </c>
      <c r="F156" s="12"/>
      <c r="G156" s="12"/>
      <c r="H156" s="12"/>
      <c r="I156" s="12"/>
      <c r="J156" s="12"/>
      <c r="K156" s="19"/>
      <c r="L156" s="12"/>
      <c r="M156" s="11" t="str">
        <f aca="false">IF(L156="","",IFERROR(INDEX(Prioridade_SLA!$B$2:$B$5,MATCH(L156,Prioridade_SLA!$A$2:$A$5,0)),""))</f>
        <v/>
      </c>
      <c r="N156" s="16" t="str">
        <f aca="false">IF(OR(B156="",M156=""),"",B156+M156/24)</f>
        <v/>
      </c>
      <c r="O156" s="12"/>
      <c r="P156" s="12"/>
      <c r="Q156" s="18"/>
      <c r="R156" s="17" t="str">
        <f aca="false">IF(OR(B156="",Q156=""),"",(Q156-B156)*24)</f>
        <v/>
      </c>
      <c r="S156" s="11" t="str">
        <f aca="false">IF(OR(N156="",Q156=""),"",IF(Q156&lt;=N156,"Sim","Não"))</f>
        <v/>
      </c>
      <c r="T156" s="19"/>
      <c r="U156" s="12"/>
      <c r="V156" s="12"/>
    </row>
    <row r="157" customFormat="false" ht="15" hidden="false" customHeight="false" outlineLevel="0" collapsed="false">
      <c r="A157" s="12"/>
      <c r="B157" s="18"/>
      <c r="C157" s="12"/>
      <c r="D157" s="11" t="str">
        <f aca="false">IF(C157="","",IFERROR(INDEX(Unidades!$B$2:$B$218,MATCH(C157,Unidades!$A$2:$A$218,0)),"Código não encontrado"))</f>
        <v/>
      </c>
      <c r="E157" s="11" t="str">
        <f aca="false">IF(C157="","",IFERROR(INDEX(Unidades!$C$2:$C$218,MATCH(C157,Unidades!$A$2:$A$218,0)),""))</f>
        <v/>
      </c>
      <c r="F157" s="12"/>
      <c r="G157" s="12"/>
      <c r="H157" s="12"/>
      <c r="I157" s="12"/>
      <c r="J157" s="12"/>
      <c r="K157" s="19"/>
      <c r="L157" s="12"/>
      <c r="M157" s="11" t="str">
        <f aca="false">IF(L157="","",IFERROR(INDEX(Prioridade_SLA!$B$2:$B$5,MATCH(L157,Prioridade_SLA!$A$2:$A$5,0)),""))</f>
        <v/>
      </c>
      <c r="N157" s="16" t="str">
        <f aca="false">IF(OR(B157="",M157=""),"",B157+M157/24)</f>
        <v/>
      </c>
      <c r="O157" s="12"/>
      <c r="P157" s="12"/>
      <c r="Q157" s="18"/>
      <c r="R157" s="17" t="str">
        <f aca="false">IF(OR(B157="",Q157=""),"",(Q157-B157)*24)</f>
        <v/>
      </c>
      <c r="S157" s="11" t="str">
        <f aca="false">IF(OR(N157="",Q157=""),"",IF(Q157&lt;=N157,"Sim","Não"))</f>
        <v/>
      </c>
      <c r="T157" s="19"/>
      <c r="U157" s="12"/>
      <c r="V157" s="12"/>
    </row>
    <row r="158" customFormat="false" ht="15" hidden="false" customHeight="false" outlineLevel="0" collapsed="false">
      <c r="A158" s="12"/>
      <c r="B158" s="18"/>
      <c r="C158" s="12"/>
      <c r="D158" s="11" t="str">
        <f aca="false">IF(C158="","",IFERROR(INDEX(Unidades!$B$2:$B$218,MATCH(C158,Unidades!$A$2:$A$218,0)),"Código não encontrado"))</f>
        <v/>
      </c>
      <c r="E158" s="11" t="str">
        <f aca="false">IF(C158="","",IFERROR(INDEX(Unidades!$C$2:$C$218,MATCH(C158,Unidades!$A$2:$A$218,0)),""))</f>
        <v/>
      </c>
      <c r="F158" s="12"/>
      <c r="G158" s="12"/>
      <c r="H158" s="12"/>
      <c r="I158" s="12"/>
      <c r="J158" s="12"/>
      <c r="K158" s="19"/>
      <c r="L158" s="12"/>
      <c r="M158" s="11" t="str">
        <f aca="false">IF(L158="","",IFERROR(INDEX(Prioridade_SLA!$B$2:$B$5,MATCH(L158,Prioridade_SLA!$A$2:$A$5,0)),""))</f>
        <v/>
      </c>
      <c r="N158" s="16" t="str">
        <f aca="false">IF(OR(B158="",M158=""),"",B158+M158/24)</f>
        <v/>
      </c>
      <c r="O158" s="12"/>
      <c r="P158" s="12"/>
      <c r="Q158" s="18"/>
      <c r="R158" s="17" t="str">
        <f aca="false">IF(OR(B158="",Q158=""),"",(Q158-B158)*24)</f>
        <v/>
      </c>
      <c r="S158" s="11" t="str">
        <f aca="false">IF(OR(N158="",Q158=""),"",IF(Q158&lt;=N158,"Sim","Não"))</f>
        <v/>
      </c>
      <c r="T158" s="19"/>
      <c r="U158" s="12"/>
      <c r="V158" s="12"/>
    </row>
    <row r="159" customFormat="false" ht="15" hidden="false" customHeight="false" outlineLevel="0" collapsed="false">
      <c r="A159" s="12"/>
      <c r="B159" s="18"/>
      <c r="C159" s="12"/>
      <c r="D159" s="11" t="str">
        <f aca="false">IF(C159="","",IFERROR(INDEX(Unidades!$B$2:$B$218,MATCH(C159,Unidades!$A$2:$A$218,0)),"Código não encontrado"))</f>
        <v/>
      </c>
      <c r="E159" s="11" t="str">
        <f aca="false">IF(C159="","",IFERROR(INDEX(Unidades!$C$2:$C$218,MATCH(C159,Unidades!$A$2:$A$218,0)),""))</f>
        <v/>
      </c>
      <c r="F159" s="12"/>
      <c r="G159" s="12"/>
      <c r="H159" s="12"/>
      <c r="I159" s="12"/>
      <c r="J159" s="12"/>
      <c r="K159" s="19"/>
      <c r="L159" s="12"/>
      <c r="M159" s="11" t="str">
        <f aca="false">IF(L159="","",IFERROR(INDEX(Prioridade_SLA!$B$2:$B$5,MATCH(L159,Prioridade_SLA!$A$2:$A$5,0)),""))</f>
        <v/>
      </c>
      <c r="N159" s="16" t="str">
        <f aca="false">IF(OR(B159="",M159=""),"",B159+M159/24)</f>
        <v/>
      </c>
      <c r="O159" s="12"/>
      <c r="P159" s="12"/>
      <c r="Q159" s="18"/>
      <c r="R159" s="17" t="str">
        <f aca="false">IF(OR(B159="",Q159=""),"",(Q159-B159)*24)</f>
        <v/>
      </c>
      <c r="S159" s="11" t="str">
        <f aca="false">IF(OR(N159="",Q159=""),"",IF(Q159&lt;=N159,"Sim","Não"))</f>
        <v/>
      </c>
      <c r="T159" s="19"/>
      <c r="U159" s="12"/>
      <c r="V159" s="12"/>
    </row>
    <row r="160" customFormat="false" ht="15" hidden="false" customHeight="false" outlineLevel="0" collapsed="false">
      <c r="A160" s="12"/>
      <c r="B160" s="18"/>
      <c r="C160" s="12"/>
      <c r="D160" s="11" t="str">
        <f aca="false">IF(C160="","",IFERROR(INDEX(Unidades!$B$2:$B$218,MATCH(C160,Unidades!$A$2:$A$218,0)),"Código não encontrado"))</f>
        <v/>
      </c>
      <c r="E160" s="11" t="str">
        <f aca="false">IF(C160="","",IFERROR(INDEX(Unidades!$C$2:$C$218,MATCH(C160,Unidades!$A$2:$A$218,0)),""))</f>
        <v/>
      </c>
      <c r="F160" s="12"/>
      <c r="G160" s="12"/>
      <c r="H160" s="12"/>
      <c r="I160" s="12"/>
      <c r="J160" s="12"/>
      <c r="K160" s="19"/>
      <c r="L160" s="12"/>
      <c r="M160" s="11" t="str">
        <f aca="false">IF(L160="","",IFERROR(INDEX(Prioridade_SLA!$B$2:$B$5,MATCH(L160,Prioridade_SLA!$A$2:$A$5,0)),""))</f>
        <v/>
      </c>
      <c r="N160" s="16" t="str">
        <f aca="false">IF(OR(B160="",M160=""),"",B160+M160/24)</f>
        <v/>
      </c>
      <c r="O160" s="12"/>
      <c r="P160" s="12"/>
      <c r="Q160" s="18"/>
      <c r="R160" s="17" t="str">
        <f aca="false">IF(OR(B160="",Q160=""),"",(Q160-B160)*24)</f>
        <v/>
      </c>
      <c r="S160" s="11" t="str">
        <f aca="false">IF(OR(N160="",Q160=""),"",IF(Q160&lt;=N160,"Sim","Não"))</f>
        <v/>
      </c>
      <c r="T160" s="19"/>
      <c r="U160" s="12"/>
      <c r="V160" s="12"/>
    </row>
    <row r="161" customFormat="false" ht="15" hidden="false" customHeight="false" outlineLevel="0" collapsed="false">
      <c r="A161" s="12"/>
      <c r="B161" s="18"/>
      <c r="C161" s="12"/>
      <c r="D161" s="11" t="str">
        <f aca="false">IF(C161="","",IFERROR(INDEX(Unidades!$B$2:$B$218,MATCH(C161,Unidades!$A$2:$A$218,0)),"Código não encontrado"))</f>
        <v/>
      </c>
      <c r="E161" s="11" t="str">
        <f aca="false">IF(C161="","",IFERROR(INDEX(Unidades!$C$2:$C$218,MATCH(C161,Unidades!$A$2:$A$218,0)),""))</f>
        <v/>
      </c>
      <c r="F161" s="12"/>
      <c r="G161" s="12"/>
      <c r="H161" s="12"/>
      <c r="I161" s="12"/>
      <c r="J161" s="12"/>
      <c r="K161" s="19"/>
      <c r="L161" s="12"/>
      <c r="M161" s="11" t="str">
        <f aca="false">IF(L161="","",IFERROR(INDEX(Prioridade_SLA!$B$2:$B$5,MATCH(L161,Prioridade_SLA!$A$2:$A$5,0)),""))</f>
        <v/>
      </c>
      <c r="N161" s="16" t="str">
        <f aca="false">IF(OR(B161="",M161=""),"",B161+M161/24)</f>
        <v/>
      </c>
      <c r="O161" s="12"/>
      <c r="P161" s="12"/>
      <c r="Q161" s="18"/>
      <c r="R161" s="17" t="str">
        <f aca="false">IF(OR(B161="",Q161=""),"",(Q161-B161)*24)</f>
        <v/>
      </c>
      <c r="S161" s="11" t="str">
        <f aca="false">IF(OR(N161="",Q161=""),"",IF(Q161&lt;=N161,"Sim","Não"))</f>
        <v/>
      </c>
      <c r="T161" s="19"/>
      <c r="U161" s="12"/>
      <c r="V161" s="12"/>
    </row>
    <row r="162" customFormat="false" ht="15" hidden="false" customHeight="false" outlineLevel="0" collapsed="false">
      <c r="A162" s="12"/>
      <c r="B162" s="18"/>
      <c r="C162" s="12"/>
      <c r="D162" s="11" t="str">
        <f aca="false">IF(C162="","",IFERROR(INDEX(Unidades!$B$2:$B$218,MATCH(C162,Unidades!$A$2:$A$218,0)),"Código não encontrado"))</f>
        <v/>
      </c>
      <c r="E162" s="11" t="str">
        <f aca="false">IF(C162="","",IFERROR(INDEX(Unidades!$C$2:$C$218,MATCH(C162,Unidades!$A$2:$A$218,0)),""))</f>
        <v/>
      </c>
      <c r="F162" s="12"/>
      <c r="G162" s="12"/>
      <c r="H162" s="12"/>
      <c r="I162" s="12"/>
      <c r="J162" s="12"/>
      <c r="K162" s="19"/>
      <c r="L162" s="12"/>
      <c r="M162" s="11" t="str">
        <f aca="false">IF(L162="","",IFERROR(INDEX(Prioridade_SLA!$B$2:$B$5,MATCH(L162,Prioridade_SLA!$A$2:$A$5,0)),""))</f>
        <v/>
      </c>
      <c r="N162" s="16" t="str">
        <f aca="false">IF(OR(B162="",M162=""),"",B162+M162/24)</f>
        <v/>
      </c>
      <c r="O162" s="12"/>
      <c r="P162" s="12"/>
      <c r="Q162" s="18"/>
      <c r="R162" s="17" t="str">
        <f aca="false">IF(OR(B162="",Q162=""),"",(Q162-B162)*24)</f>
        <v/>
      </c>
      <c r="S162" s="11" t="str">
        <f aca="false">IF(OR(N162="",Q162=""),"",IF(Q162&lt;=N162,"Sim","Não"))</f>
        <v/>
      </c>
      <c r="T162" s="19"/>
      <c r="U162" s="12"/>
      <c r="V162" s="12"/>
    </row>
    <row r="163" customFormat="false" ht="15" hidden="false" customHeight="false" outlineLevel="0" collapsed="false">
      <c r="A163" s="12"/>
      <c r="B163" s="18"/>
      <c r="C163" s="12"/>
      <c r="D163" s="11" t="str">
        <f aca="false">IF(C163="","",IFERROR(INDEX(Unidades!$B$2:$B$218,MATCH(C163,Unidades!$A$2:$A$218,0)),"Código não encontrado"))</f>
        <v/>
      </c>
      <c r="E163" s="11" t="str">
        <f aca="false">IF(C163="","",IFERROR(INDEX(Unidades!$C$2:$C$218,MATCH(C163,Unidades!$A$2:$A$218,0)),""))</f>
        <v/>
      </c>
      <c r="F163" s="12"/>
      <c r="G163" s="12"/>
      <c r="H163" s="12"/>
      <c r="I163" s="12"/>
      <c r="J163" s="12"/>
      <c r="K163" s="19"/>
      <c r="L163" s="12"/>
      <c r="M163" s="11" t="str">
        <f aca="false">IF(L163="","",IFERROR(INDEX(Prioridade_SLA!$B$2:$B$5,MATCH(L163,Prioridade_SLA!$A$2:$A$5,0)),""))</f>
        <v/>
      </c>
      <c r="N163" s="16" t="str">
        <f aca="false">IF(OR(B163="",M163=""),"",B163+M163/24)</f>
        <v/>
      </c>
      <c r="O163" s="12"/>
      <c r="P163" s="12"/>
      <c r="Q163" s="18"/>
      <c r="R163" s="17" t="str">
        <f aca="false">IF(OR(B163="",Q163=""),"",(Q163-B163)*24)</f>
        <v/>
      </c>
      <c r="S163" s="11" t="str">
        <f aca="false">IF(OR(N163="",Q163=""),"",IF(Q163&lt;=N163,"Sim","Não"))</f>
        <v/>
      </c>
      <c r="T163" s="19"/>
      <c r="U163" s="12"/>
      <c r="V163" s="12"/>
    </row>
    <row r="164" customFormat="false" ht="15" hidden="false" customHeight="false" outlineLevel="0" collapsed="false">
      <c r="A164" s="12"/>
      <c r="B164" s="18"/>
      <c r="C164" s="12"/>
      <c r="D164" s="11" t="str">
        <f aca="false">IF(C164="","",IFERROR(INDEX(Unidades!$B$2:$B$218,MATCH(C164,Unidades!$A$2:$A$218,0)),"Código não encontrado"))</f>
        <v/>
      </c>
      <c r="E164" s="11" t="str">
        <f aca="false">IF(C164="","",IFERROR(INDEX(Unidades!$C$2:$C$218,MATCH(C164,Unidades!$A$2:$A$218,0)),""))</f>
        <v/>
      </c>
      <c r="F164" s="12"/>
      <c r="G164" s="12"/>
      <c r="H164" s="12"/>
      <c r="I164" s="12"/>
      <c r="J164" s="12"/>
      <c r="K164" s="19"/>
      <c r="L164" s="12"/>
      <c r="M164" s="11" t="str">
        <f aca="false">IF(L164="","",IFERROR(INDEX(Prioridade_SLA!$B$2:$B$5,MATCH(L164,Prioridade_SLA!$A$2:$A$5,0)),""))</f>
        <v/>
      </c>
      <c r="N164" s="16" t="str">
        <f aca="false">IF(OR(B164="",M164=""),"",B164+M164/24)</f>
        <v/>
      </c>
      <c r="O164" s="12"/>
      <c r="P164" s="12"/>
      <c r="Q164" s="18"/>
      <c r="R164" s="17" t="str">
        <f aca="false">IF(OR(B164="",Q164=""),"",(Q164-B164)*24)</f>
        <v/>
      </c>
      <c r="S164" s="11" t="str">
        <f aca="false">IF(OR(N164="",Q164=""),"",IF(Q164&lt;=N164,"Sim","Não"))</f>
        <v/>
      </c>
      <c r="T164" s="19"/>
      <c r="U164" s="12"/>
      <c r="V164" s="12"/>
    </row>
    <row r="165" customFormat="false" ht="15" hidden="false" customHeight="false" outlineLevel="0" collapsed="false">
      <c r="A165" s="12"/>
      <c r="B165" s="18"/>
      <c r="C165" s="12"/>
      <c r="D165" s="11" t="str">
        <f aca="false">IF(C165="","",IFERROR(INDEX(Unidades!$B$2:$B$218,MATCH(C165,Unidades!$A$2:$A$218,0)),"Código não encontrado"))</f>
        <v/>
      </c>
      <c r="E165" s="11" t="str">
        <f aca="false">IF(C165="","",IFERROR(INDEX(Unidades!$C$2:$C$218,MATCH(C165,Unidades!$A$2:$A$218,0)),""))</f>
        <v/>
      </c>
      <c r="F165" s="12"/>
      <c r="G165" s="12"/>
      <c r="H165" s="12"/>
      <c r="I165" s="12"/>
      <c r="J165" s="12"/>
      <c r="K165" s="19"/>
      <c r="L165" s="12"/>
      <c r="M165" s="11" t="str">
        <f aca="false">IF(L165="","",IFERROR(INDEX(Prioridade_SLA!$B$2:$B$5,MATCH(L165,Prioridade_SLA!$A$2:$A$5,0)),""))</f>
        <v/>
      </c>
      <c r="N165" s="16" t="str">
        <f aca="false">IF(OR(B165="",M165=""),"",B165+M165/24)</f>
        <v/>
      </c>
      <c r="O165" s="12"/>
      <c r="P165" s="12"/>
      <c r="Q165" s="18"/>
      <c r="R165" s="17" t="str">
        <f aca="false">IF(OR(B165="",Q165=""),"",(Q165-B165)*24)</f>
        <v/>
      </c>
      <c r="S165" s="11" t="str">
        <f aca="false">IF(OR(N165="",Q165=""),"",IF(Q165&lt;=N165,"Sim","Não"))</f>
        <v/>
      </c>
      <c r="T165" s="19"/>
      <c r="U165" s="12"/>
      <c r="V165" s="12"/>
    </row>
    <row r="166" customFormat="false" ht="15" hidden="false" customHeight="false" outlineLevel="0" collapsed="false">
      <c r="A166" s="12"/>
      <c r="B166" s="18"/>
      <c r="C166" s="12"/>
      <c r="D166" s="11" t="str">
        <f aca="false">IF(C166="","",IFERROR(INDEX(Unidades!$B$2:$B$218,MATCH(C166,Unidades!$A$2:$A$218,0)),"Código não encontrado"))</f>
        <v/>
      </c>
      <c r="E166" s="11" t="str">
        <f aca="false">IF(C166="","",IFERROR(INDEX(Unidades!$C$2:$C$218,MATCH(C166,Unidades!$A$2:$A$218,0)),""))</f>
        <v/>
      </c>
      <c r="F166" s="12"/>
      <c r="G166" s="12"/>
      <c r="H166" s="12"/>
      <c r="I166" s="12"/>
      <c r="J166" s="12"/>
      <c r="K166" s="19"/>
      <c r="L166" s="12"/>
      <c r="M166" s="11" t="str">
        <f aca="false">IF(L166="","",IFERROR(INDEX(Prioridade_SLA!$B$2:$B$5,MATCH(L166,Prioridade_SLA!$A$2:$A$5,0)),""))</f>
        <v/>
      </c>
      <c r="N166" s="16" t="str">
        <f aca="false">IF(OR(B166="",M166=""),"",B166+M166/24)</f>
        <v/>
      </c>
      <c r="O166" s="12"/>
      <c r="P166" s="12"/>
      <c r="Q166" s="18"/>
      <c r="R166" s="17" t="str">
        <f aca="false">IF(OR(B166="",Q166=""),"",(Q166-B166)*24)</f>
        <v/>
      </c>
      <c r="S166" s="11" t="str">
        <f aca="false">IF(OR(N166="",Q166=""),"",IF(Q166&lt;=N166,"Sim","Não"))</f>
        <v/>
      </c>
      <c r="T166" s="19"/>
      <c r="U166" s="12"/>
      <c r="V166" s="12"/>
    </row>
    <row r="167" customFormat="false" ht="15" hidden="false" customHeight="false" outlineLevel="0" collapsed="false">
      <c r="A167" s="12"/>
      <c r="B167" s="18"/>
      <c r="C167" s="12"/>
      <c r="D167" s="11" t="str">
        <f aca="false">IF(C167="","",IFERROR(INDEX(Unidades!$B$2:$B$218,MATCH(C167,Unidades!$A$2:$A$218,0)),"Código não encontrado"))</f>
        <v/>
      </c>
      <c r="E167" s="11" t="str">
        <f aca="false">IF(C167="","",IFERROR(INDEX(Unidades!$C$2:$C$218,MATCH(C167,Unidades!$A$2:$A$218,0)),""))</f>
        <v/>
      </c>
      <c r="F167" s="12"/>
      <c r="G167" s="12"/>
      <c r="H167" s="12"/>
      <c r="I167" s="12"/>
      <c r="J167" s="12"/>
      <c r="K167" s="19"/>
      <c r="L167" s="12"/>
      <c r="M167" s="11" t="str">
        <f aca="false">IF(L167="","",IFERROR(INDEX(Prioridade_SLA!$B$2:$B$5,MATCH(L167,Prioridade_SLA!$A$2:$A$5,0)),""))</f>
        <v/>
      </c>
      <c r="N167" s="16" t="str">
        <f aca="false">IF(OR(B167="",M167=""),"",B167+M167/24)</f>
        <v/>
      </c>
      <c r="O167" s="12"/>
      <c r="P167" s="12"/>
      <c r="Q167" s="18"/>
      <c r="R167" s="17" t="str">
        <f aca="false">IF(OR(B167="",Q167=""),"",(Q167-B167)*24)</f>
        <v/>
      </c>
      <c r="S167" s="11" t="str">
        <f aca="false">IF(OR(N167="",Q167=""),"",IF(Q167&lt;=N167,"Sim","Não"))</f>
        <v/>
      </c>
      <c r="T167" s="19"/>
      <c r="U167" s="12"/>
      <c r="V167" s="12"/>
    </row>
    <row r="168" customFormat="false" ht="15" hidden="false" customHeight="false" outlineLevel="0" collapsed="false">
      <c r="A168" s="12"/>
      <c r="B168" s="18"/>
      <c r="C168" s="12"/>
      <c r="D168" s="11" t="str">
        <f aca="false">IF(C168="","",IFERROR(INDEX(Unidades!$B$2:$B$218,MATCH(C168,Unidades!$A$2:$A$218,0)),"Código não encontrado"))</f>
        <v/>
      </c>
      <c r="E168" s="11" t="str">
        <f aca="false">IF(C168="","",IFERROR(INDEX(Unidades!$C$2:$C$218,MATCH(C168,Unidades!$A$2:$A$218,0)),""))</f>
        <v/>
      </c>
      <c r="F168" s="12"/>
      <c r="G168" s="12"/>
      <c r="H168" s="12"/>
      <c r="I168" s="12"/>
      <c r="J168" s="12"/>
      <c r="K168" s="19"/>
      <c r="L168" s="12"/>
      <c r="M168" s="11" t="str">
        <f aca="false">IF(L168="","",IFERROR(INDEX(Prioridade_SLA!$B$2:$B$5,MATCH(L168,Prioridade_SLA!$A$2:$A$5,0)),""))</f>
        <v/>
      </c>
      <c r="N168" s="16" t="str">
        <f aca="false">IF(OR(B168="",M168=""),"",B168+M168/24)</f>
        <v/>
      </c>
      <c r="O168" s="12"/>
      <c r="P168" s="12"/>
      <c r="Q168" s="18"/>
      <c r="R168" s="17" t="str">
        <f aca="false">IF(OR(B168="",Q168=""),"",(Q168-B168)*24)</f>
        <v/>
      </c>
      <c r="S168" s="11" t="str">
        <f aca="false">IF(OR(N168="",Q168=""),"",IF(Q168&lt;=N168,"Sim","Não"))</f>
        <v/>
      </c>
      <c r="T168" s="19"/>
      <c r="U168" s="12"/>
      <c r="V168" s="12"/>
    </row>
    <row r="169" customFormat="false" ht="15" hidden="false" customHeight="false" outlineLevel="0" collapsed="false">
      <c r="A169" s="12"/>
      <c r="B169" s="18"/>
      <c r="C169" s="12"/>
      <c r="D169" s="11" t="str">
        <f aca="false">IF(C169="","",IFERROR(INDEX(Unidades!$B$2:$B$218,MATCH(C169,Unidades!$A$2:$A$218,0)),"Código não encontrado"))</f>
        <v/>
      </c>
      <c r="E169" s="11" t="str">
        <f aca="false">IF(C169="","",IFERROR(INDEX(Unidades!$C$2:$C$218,MATCH(C169,Unidades!$A$2:$A$218,0)),""))</f>
        <v/>
      </c>
      <c r="F169" s="12"/>
      <c r="G169" s="12"/>
      <c r="H169" s="12"/>
      <c r="I169" s="12"/>
      <c r="J169" s="12"/>
      <c r="K169" s="19"/>
      <c r="L169" s="12"/>
      <c r="M169" s="11" t="str">
        <f aca="false">IF(L169="","",IFERROR(INDEX(Prioridade_SLA!$B$2:$B$5,MATCH(L169,Prioridade_SLA!$A$2:$A$5,0)),""))</f>
        <v/>
      </c>
      <c r="N169" s="16" t="str">
        <f aca="false">IF(OR(B169="",M169=""),"",B169+M169/24)</f>
        <v/>
      </c>
      <c r="O169" s="12"/>
      <c r="P169" s="12"/>
      <c r="Q169" s="18"/>
      <c r="R169" s="17" t="str">
        <f aca="false">IF(OR(B169="",Q169=""),"",(Q169-B169)*24)</f>
        <v/>
      </c>
      <c r="S169" s="11" t="str">
        <f aca="false">IF(OR(N169="",Q169=""),"",IF(Q169&lt;=N169,"Sim","Não"))</f>
        <v/>
      </c>
      <c r="T169" s="19"/>
      <c r="U169" s="12"/>
      <c r="V169" s="12"/>
    </row>
    <row r="170" customFormat="false" ht="15" hidden="false" customHeight="false" outlineLevel="0" collapsed="false">
      <c r="A170" s="12"/>
      <c r="B170" s="18"/>
      <c r="C170" s="12"/>
      <c r="D170" s="11" t="str">
        <f aca="false">IF(C170="","",IFERROR(INDEX(Unidades!$B$2:$B$218,MATCH(C170,Unidades!$A$2:$A$218,0)),"Código não encontrado"))</f>
        <v/>
      </c>
      <c r="E170" s="11" t="str">
        <f aca="false">IF(C170="","",IFERROR(INDEX(Unidades!$C$2:$C$218,MATCH(C170,Unidades!$A$2:$A$218,0)),""))</f>
        <v/>
      </c>
      <c r="F170" s="12"/>
      <c r="G170" s="12"/>
      <c r="H170" s="12"/>
      <c r="I170" s="12"/>
      <c r="J170" s="12"/>
      <c r="K170" s="19"/>
      <c r="L170" s="12"/>
      <c r="M170" s="11" t="str">
        <f aca="false">IF(L170="","",IFERROR(INDEX(Prioridade_SLA!$B$2:$B$5,MATCH(L170,Prioridade_SLA!$A$2:$A$5,0)),""))</f>
        <v/>
      </c>
      <c r="N170" s="16" t="str">
        <f aca="false">IF(OR(B170="",M170=""),"",B170+M170/24)</f>
        <v/>
      </c>
      <c r="O170" s="12"/>
      <c r="P170" s="12"/>
      <c r="Q170" s="18"/>
      <c r="R170" s="17" t="str">
        <f aca="false">IF(OR(B170="",Q170=""),"",(Q170-B170)*24)</f>
        <v/>
      </c>
      <c r="S170" s="11" t="str">
        <f aca="false">IF(OR(N170="",Q170=""),"",IF(Q170&lt;=N170,"Sim","Não"))</f>
        <v/>
      </c>
      <c r="T170" s="19"/>
      <c r="U170" s="12"/>
      <c r="V170" s="12"/>
    </row>
    <row r="171" customFormat="false" ht="15" hidden="false" customHeight="false" outlineLevel="0" collapsed="false">
      <c r="A171" s="12"/>
      <c r="B171" s="18"/>
      <c r="C171" s="12"/>
      <c r="D171" s="11" t="str">
        <f aca="false">IF(C171="","",IFERROR(INDEX(Unidades!$B$2:$B$218,MATCH(C171,Unidades!$A$2:$A$218,0)),"Código não encontrado"))</f>
        <v/>
      </c>
      <c r="E171" s="11" t="str">
        <f aca="false">IF(C171="","",IFERROR(INDEX(Unidades!$C$2:$C$218,MATCH(C171,Unidades!$A$2:$A$218,0)),""))</f>
        <v/>
      </c>
      <c r="F171" s="12"/>
      <c r="G171" s="12"/>
      <c r="H171" s="12"/>
      <c r="I171" s="12"/>
      <c r="J171" s="12"/>
      <c r="K171" s="19"/>
      <c r="L171" s="12"/>
      <c r="M171" s="11" t="str">
        <f aca="false">IF(L171="","",IFERROR(INDEX(Prioridade_SLA!$B$2:$B$5,MATCH(L171,Prioridade_SLA!$A$2:$A$5,0)),""))</f>
        <v/>
      </c>
      <c r="N171" s="16" t="str">
        <f aca="false">IF(OR(B171="",M171=""),"",B171+M171/24)</f>
        <v/>
      </c>
      <c r="O171" s="12"/>
      <c r="P171" s="12"/>
      <c r="Q171" s="18"/>
      <c r="R171" s="17" t="str">
        <f aca="false">IF(OR(B171="",Q171=""),"",(Q171-B171)*24)</f>
        <v/>
      </c>
      <c r="S171" s="11" t="str">
        <f aca="false">IF(OR(N171="",Q171=""),"",IF(Q171&lt;=N171,"Sim","Não"))</f>
        <v/>
      </c>
      <c r="T171" s="19"/>
      <c r="U171" s="12"/>
      <c r="V171" s="12"/>
    </row>
    <row r="172" customFormat="false" ht="15" hidden="false" customHeight="false" outlineLevel="0" collapsed="false">
      <c r="A172" s="12"/>
      <c r="B172" s="18"/>
      <c r="C172" s="12"/>
      <c r="D172" s="11" t="str">
        <f aca="false">IF(C172="","",IFERROR(INDEX(Unidades!$B$2:$B$218,MATCH(C172,Unidades!$A$2:$A$218,0)),"Código não encontrado"))</f>
        <v/>
      </c>
      <c r="E172" s="11" t="str">
        <f aca="false">IF(C172="","",IFERROR(INDEX(Unidades!$C$2:$C$218,MATCH(C172,Unidades!$A$2:$A$218,0)),""))</f>
        <v/>
      </c>
      <c r="F172" s="12"/>
      <c r="G172" s="12"/>
      <c r="H172" s="12"/>
      <c r="I172" s="12"/>
      <c r="J172" s="12"/>
      <c r="K172" s="19"/>
      <c r="L172" s="12"/>
      <c r="M172" s="11" t="str">
        <f aca="false">IF(L172="","",IFERROR(INDEX(Prioridade_SLA!$B$2:$B$5,MATCH(L172,Prioridade_SLA!$A$2:$A$5,0)),""))</f>
        <v/>
      </c>
      <c r="N172" s="16" t="str">
        <f aca="false">IF(OR(B172="",M172=""),"",B172+M172/24)</f>
        <v/>
      </c>
      <c r="O172" s="12"/>
      <c r="P172" s="12"/>
      <c r="Q172" s="18"/>
      <c r="R172" s="17" t="str">
        <f aca="false">IF(OR(B172="",Q172=""),"",(Q172-B172)*24)</f>
        <v/>
      </c>
      <c r="S172" s="11" t="str">
        <f aca="false">IF(OR(N172="",Q172=""),"",IF(Q172&lt;=N172,"Sim","Não"))</f>
        <v/>
      </c>
      <c r="T172" s="19"/>
      <c r="U172" s="12"/>
      <c r="V172" s="12"/>
    </row>
    <row r="173" customFormat="false" ht="15" hidden="false" customHeight="false" outlineLevel="0" collapsed="false">
      <c r="A173" s="12"/>
      <c r="B173" s="18"/>
      <c r="C173" s="12"/>
      <c r="D173" s="11" t="str">
        <f aca="false">IF(C173="","",IFERROR(INDEX(Unidades!$B$2:$B$218,MATCH(C173,Unidades!$A$2:$A$218,0)),"Código não encontrado"))</f>
        <v/>
      </c>
      <c r="E173" s="11" t="str">
        <f aca="false">IF(C173="","",IFERROR(INDEX(Unidades!$C$2:$C$218,MATCH(C173,Unidades!$A$2:$A$218,0)),""))</f>
        <v/>
      </c>
      <c r="F173" s="12"/>
      <c r="G173" s="12"/>
      <c r="H173" s="12"/>
      <c r="I173" s="12"/>
      <c r="J173" s="12"/>
      <c r="K173" s="19"/>
      <c r="L173" s="12"/>
      <c r="M173" s="11" t="str">
        <f aca="false">IF(L173="","",IFERROR(INDEX(Prioridade_SLA!$B$2:$B$5,MATCH(L173,Prioridade_SLA!$A$2:$A$5,0)),""))</f>
        <v/>
      </c>
      <c r="N173" s="16" t="str">
        <f aca="false">IF(OR(B173="",M173=""),"",B173+M173/24)</f>
        <v/>
      </c>
      <c r="O173" s="12"/>
      <c r="P173" s="12"/>
      <c r="Q173" s="18"/>
      <c r="R173" s="17" t="str">
        <f aca="false">IF(OR(B173="",Q173=""),"",(Q173-B173)*24)</f>
        <v/>
      </c>
      <c r="S173" s="11" t="str">
        <f aca="false">IF(OR(N173="",Q173=""),"",IF(Q173&lt;=N173,"Sim","Não"))</f>
        <v/>
      </c>
      <c r="T173" s="19"/>
      <c r="U173" s="12"/>
      <c r="V173" s="12"/>
    </row>
    <row r="174" customFormat="false" ht="15" hidden="false" customHeight="false" outlineLevel="0" collapsed="false">
      <c r="A174" s="12"/>
      <c r="B174" s="18"/>
      <c r="C174" s="12"/>
      <c r="D174" s="11" t="str">
        <f aca="false">IF(C174="","",IFERROR(INDEX(Unidades!$B$2:$B$218,MATCH(C174,Unidades!$A$2:$A$218,0)),"Código não encontrado"))</f>
        <v/>
      </c>
      <c r="E174" s="11" t="str">
        <f aca="false">IF(C174="","",IFERROR(INDEX(Unidades!$C$2:$C$218,MATCH(C174,Unidades!$A$2:$A$218,0)),""))</f>
        <v/>
      </c>
      <c r="F174" s="12"/>
      <c r="G174" s="12"/>
      <c r="H174" s="12"/>
      <c r="I174" s="12"/>
      <c r="J174" s="12"/>
      <c r="K174" s="19"/>
      <c r="L174" s="12"/>
      <c r="M174" s="11" t="str">
        <f aca="false">IF(L174="","",IFERROR(INDEX(Prioridade_SLA!$B$2:$B$5,MATCH(L174,Prioridade_SLA!$A$2:$A$5,0)),""))</f>
        <v/>
      </c>
      <c r="N174" s="16" t="str">
        <f aca="false">IF(OR(B174="",M174=""),"",B174+M174/24)</f>
        <v/>
      </c>
      <c r="O174" s="12"/>
      <c r="P174" s="12"/>
      <c r="Q174" s="18"/>
      <c r="R174" s="17" t="str">
        <f aca="false">IF(OR(B174="",Q174=""),"",(Q174-B174)*24)</f>
        <v/>
      </c>
      <c r="S174" s="11" t="str">
        <f aca="false">IF(OR(N174="",Q174=""),"",IF(Q174&lt;=N174,"Sim","Não"))</f>
        <v/>
      </c>
      <c r="T174" s="19"/>
      <c r="U174" s="12"/>
      <c r="V174" s="12"/>
    </row>
    <row r="175" customFormat="false" ht="15" hidden="false" customHeight="false" outlineLevel="0" collapsed="false">
      <c r="A175" s="12"/>
      <c r="B175" s="18"/>
      <c r="C175" s="12"/>
      <c r="D175" s="11" t="str">
        <f aca="false">IF(C175="","",IFERROR(INDEX(Unidades!$B$2:$B$218,MATCH(C175,Unidades!$A$2:$A$218,0)),"Código não encontrado"))</f>
        <v/>
      </c>
      <c r="E175" s="11" t="str">
        <f aca="false">IF(C175="","",IFERROR(INDEX(Unidades!$C$2:$C$218,MATCH(C175,Unidades!$A$2:$A$218,0)),""))</f>
        <v/>
      </c>
      <c r="F175" s="12"/>
      <c r="G175" s="12"/>
      <c r="H175" s="12"/>
      <c r="I175" s="12"/>
      <c r="J175" s="12"/>
      <c r="K175" s="19"/>
      <c r="L175" s="12"/>
      <c r="M175" s="11" t="str">
        <f aca="false">IF(L175="","",IFERROR(INDEX(Prioridade_SLA!$B$2:$B$5,MATCH(L175,Prioridade_SLA!$A$2:$A$5,0)),""))</f>
        <v/>
      </c>
      <c r="N175" s="16" t="str">
        <f aca="false">IF(OR(B175="",M175=""),"",B175+M175/24)</f>
        <v/>
      </c>
      <c r="O175" s="12"/>
      <c r="P175" s="12"/>
      <c r="Q175" s="18"/>
      <c r="R175" s="17" t="str">
        <f aca="false">IF(OR(B175="",Q175=""),"",(Q175-B175)*24)</f>
        <v/>
      </c>
      <c r="S175" s="11" t="str">
        <f aca="false">IF(OR(N175="",Q175=""),"",IF(Q175&lt;=N175,"Sim","Não"))</f>
        <v/>
      </c>
      <c r="T175" s="19"/>
      <c r="U175" s="12"/>
      <c r="V175" s="12"/>
    </row>
    <row r="176" customFormat="false" ht="15" hidden="false" customHeight="false" outlineLevel="0" collapsed="false">
      <c r="A176" s="12"/>
      <c r="B176" s="18"/>
      <c r="C176" s="12"/>
      <c r="D176" s="11" t="str">
        <f aca="false">IF(C176="","",IFERROR(INDEX(Unidades!$B$2:$B$218,MATCH(C176,Unidades!$A$2:$A$218,0)),"Código não encontrado"))</f>
        <v/>
      </c>
      <c r="E176" s="11" t="str">
        <f aca="false">IF(C176="","",IFERROR(INDEX(Unidades!$C$2:$C$218,MATCH(C176,Unidades!$A$2:$A$218,0)),""))</f>
        <v/>
      </c>
      <c r="F176" s="12"/>
      <c r="G176" s="12"/>
      <c r="H176" s="12"/>
      <c r="I176" s="12"/>
      <c r="J176" s="12"/>
      <c r="K176" s="19"/>
      <c r="L176" s="12"/>
      <c r="M176" s="11" t="str">
        <f aca="false">IF(L176="","",IFERROR(INDEX(Prioridade_SLA!$B$2:$B$5,MATCH(L176,Prioridade_SLA!$A$2:$A$5,0)),""))</f>
        <v/>
      </c>
      <c r="N176" s="16" t="str">
        <f aca="false">IF(OR(B176="",M176=""),"",B176+M176/24)</f>
        <v/>
      </c>
      <c r="O176" s="12"/>
      <c r="P176" s="12"/>
      <c r="Q176" s="18"/>
      <c r="R176" s="17" t="str">
        <f aca="false">IF(OR(B176="",Q176=""),"",(Q176-B176)*24)</f>
        <v/>
      </c>
      <c r="S176" s="11" t="str">
        <f aca="false">IF(OR(N176="",Q176=""),"",IF(Q176&lt;=N176,"Sim","Não"))</f>
        <v/>
      </c>
      <c r="T176" s="19"/>
      <c r="U176" s="12"/>
      <c r="V176" s="12"/>
    </row>
    <row r="177" customFormat="false" ht="15" hidden="false" customHeight="false" outlineLevel="0" collapsed="false">
      <c r="A177" s="12"/>
      <c r="B177" s="18"/>
      <c r="C177" s="12"/>
      <c r="D177" s="11" t="str">
        <f aca="false">IF(C177="","",IFERROR(INDEX(Unidades!$B$2:$B$218,MATCH(C177,Unidades!$A$2:$A$218,0)),"Código não encontrado"))</f>
        <v/>
      </c>
      <c r="E177" s="11" t="str">
        <f aca="false">IF(C177="","",IFERROR(INDEX(Unidades!$C$2:$C$218,MATCH(C177,Unidades!$A$2:$A$218,0)),""))</f>
        <v/>
      </c>
      <c r="F177" s="12"/>
      <c r="G177" s="12"/>
      <c r="H177" s="12"/>
      <c r="I177" s="12"/>
      <c r="J177" s="12"/>
      <c r="K177" s="19"/>
      <c r="L177" s="12"/>
      <c r="M177" s="11" t="str">
        <f aca="false">IF(L177="","",IFERROR(INDEX(Prioridade_SLA!$B$2:$B$5,MATCH(L177,Prioridade_SLA!$A$2:$A$5,0)),""))</f>
        <v/>
      </c>
      <c r="N177" s="16" t="str">
        <f aca="false">IF(OR(B177="",M177=""),"",B177+M177/24)</f>
        <v/>
      </c>
      <c r="O177" s="12"/>
      <c r="P177" s="12"/>
      <c r="Q177" s="18"/>
      <c r="R177" s="17" t="str">
        <f aca="false">IF(OR(B177="",Q177=""),"",(Q177-B177)*24)</f>
        <v/>
      </c>
      <c r="S177" s="11" t="str">
        <f aca="false">IF(OR(N177="",Q177=""),"",IF(Q177&lt;=N177,"Sim","Não"))</f>
        <v/>
      </c>
      <c r="T177" s="19"/>
      <c r="U177" s="12"/>
      <c r="V177" s="12"/>
    </row>
    <row r="178" customFormat="false" ht="15" hidden="false" customHeight="false" outlineLevel="0" collapsed="false">
      <c r="A178" s="12"/>
      <c r="B178" s="18"/>
      <c r="C178" s="12"/>
      <c r="D178" s="11" t="str">
        <f aca="false">IF(C178="","",IFERROR(INDEX(Unidades!$B$2:$B$218,MATCH(C178,Unidades!$A$2:$A$218,0)),"Código não encontrado"))</f>
        <v/>
      </c>
      <c r="E178" s="11" t="str">
        <f aca="false">IF(C178="","",IFERROR(INDEX(Unidades!$C$2:$C$218,MATCH(C178,Unidades!$A$2:$A$218,0)),""))</f>
        <v/>
      </c>
      <c r="F178" s="12"/>
      <c r="G178" s="12"/>
      <c r="H178" s="12"/>
      <c r="I178" s="12"/>
      <c r="J178" s="12"/>
      <c r="K178" s="19"/>
      <c r="L178" s="12"/>
      <c r="M178" s="11" t="str">
        <f aca="false">IF(L178="","",IFERROR(INDEX(Prioridade_SLA!$B$2:$B$5,MATCH(L178,Prioridade_SLA!$A$2:$A$5,0)),""))</f>
        <v/>
      </c>
      <c r="N178" s="16" t="str">
        <f aca="false">IF(OR(B178="",M178=""),"",B178+M178/24)</f>
        <v/>
      </c>
      <c r="O178" s="12"/>
      <c r="P178" s="12"/>
      <c r="Q178" s="18"/>
      <c r="R178" s="17" t="str">
        <f aca="false">IF(OR(B178="",Q178=""),"",(Q178-B178)*24)</f>
        <v/>
      </c>
      <c r="S178" s="11" t="str">
        <f aca="false">IF(OR(N178="",Q178=""),"",IF(Q178&lt;=N178,"Sim","Não"))</f>
        <v/>
      </c>
      <c r="T178" s="19"/>
      <c r="U178" s="12"/>
      <c r="V178" s="12"/>
    </row>
    <row r="179" customFormat="false" ht="15" hidden="false" customHeight="false" outlineLevel="0" collapsed="false">
      <c r="A179" s="12"/>
      <c r="B179" s="18"/>
      <c r="C179" s="12"/>
      <c r="D179" s="11" t="str">
        <f aca="false">IF(C179="","",IFERROR(INDEX(Unidades!$B$2:$B$218,MATCH(C179,Unidades!$A$2:$A$218,0)),"Código não encontrado"))</f>
        <v/>
      </c>
      <c r="E179" s="11" t="str">
        <f aca="false">IF(C179="","",IFERROR(INDEX(Unidades!$C$2:$C$218,MATCH(C179,Unidades!$A$2:$A$218,0)),""))</f>
        <v/>
      </c>
      <c r="F179" s="12"/>
      <c r="G179" s="12"/>
      <c r="H179" s="12"/>
      <c r="I179" s="12"/>
      <c r="J179" s="12"/>
      <c r="K179" s="19"/>
      <c r="L179" s="12"/>
      <c r="M179" s="11" t="str">
        <f aca="false">IF(L179="","",IFERROR(INDEX(Prioridade_SLA!$B$2:$B$5,MATCH(L179,Prioridade_SLA!$A$2:$A$5,0)),""))</f>
        <v/>
      </c>
      <c r="N179" s="16" t="str">
        <f aca="false">IF(OR(B179="",M179=""),"",B179+M179/24)</f>
        <v/>
      </c>
      <c r="O179" s="12"/>
      <c r="P179" s="12"/>
      <c r="Q179" s="18"/>
      <c r="R179" s="17" t="str">
        <f aca="false">IF(OR(B179="",Q179=""),"",(Q179-B179)*24)</f>
        <v/>
      </c>
      <c r="S179" s="11" t="str">
        <f aca="false">IF(OR(N179="",Q179=""),"",IF(Q179&lt;=N179,"Sim","Não"))</f>
        <v/>
      </c>
      <c r="T179" s="19"/>
      <c r="U179" s="12"/>
      <c r="V179" s="12"/>
    </row>
    <row r="180" customFormat="false" ht="15" hidden="false" customHeight="false" outlineLevel="0" collapsed="false">
      <c r="A180" s="12"/>
      <c r="B180" s="18"/>
      <c r="C180" s="12"/>
      <c r="D180" s="11" t="str">
        <f aca="false">IF(C180="","",IFERROR(INDEX(Unidades!$B$2:$B$218,MATCH(C180,Unidades!$A$2:$A$218,0)),"Código não encontrado"))</f>
        <v/>
      </c>
      <c r="E180" s="11" t="str">
        <f aca="false">IF(C180="","",IFERROR(INDEX(Unidades!$C$2:$C$218,MATCH(C180,Unidades!$A$2:$A$218,0)),""))</f>
        <v/>
      </c>
      <c r="F180" s="12"/>
      <c r="G180" s="12"/>
      <c r="H180" s="12"/>
      <c r="I180" s="12"/>
      <c r="J180" s="12"/>
      <c r="K180" s="19"/>
      <c r="L180" s="12"/>
      <c r="M180" s="11" t="str">
        <f aca="false">IF(L180="","",IFERROR(INDEX(Prioridade_SLA!$B$2:$B$5,MATCH(L180,Prioridade_SLA!$A$2:$A$5,0)),""))</f>
        <v/>
      </c>
      <c r="N180" s="16" t="str">
        <f aca="false">IF(OR(B180="",M180=""),"",B180+M180/24)</f>
        <v/>
      </c>
      <c r="O180" s="12"/>
      <c r="P180" s="12"/>
      <c r="Q180" s="18"/>
      <c r="R180" s="17" t="str">
        <f aca="false">IF(OR(B180="",Q180=""),"",(Q180-B180)*24)</f>
        <v/>
      </c>
      <c r="S180" s="11" t="str">
        <f aca="false">IF(OR(N180="",Q180=""),"",IF(Q180&lt;=N180,"Sim","Não"))</f>
        <v/>
      </c>
      <c r="T180" s="19"/>
      <c r="U180" s="12"/>
      <c r="V180" s="12"/>
    </row>
    <row r="181" customFormat="false" ht="15" hidden="false" customHeight="false" outlineLevel="0" collapsed="false">
      <c r="A181" s="12"/>
      <c r="B181" s="18"/>
      <c r="C181" s="12"/>
      <c r="D181" s="11" t="str">
        <f aca="false">IF(C181="","",IFERROR(INDEX(Unidades!$B$2:$B$218,MATCH(C181,Unidades!$A$2:$A$218,0)),"Código não encontrado"))</f>
        <v/>
      </c>
      <c r="E181" s="11" t="str">
        <f aca="false">IF(C181="","",IFERROR(INDEX(Unidades!$C$2:$C$218,MATCH(C181,Unidades!$A$2:$A$218,0)),""))</f>
        <v/>
      </c>
      <c r="F181" s="12"/>
      <c r="G181" s="12"/>
      <c r="H181" s="12"/>
      <c r="I181" s="12"/>
      <c r="J181" s="12"/>
      <c r="K181" s="19"/>
      <c r="L181" s="12"/>
      <c r="M181" s="11" t="str">
        <f aca="false">IF(L181="","",IFERROR(INDEX(Prioridade_SLA!$B$2:$B$5,MATCH(L181,Prioridade_SLA!$A$2:$A$5,0)),""))</f>
        <v/>
      </c>
      <c r="N181" s="16" t="str">
        <f aca="false">IF(OR(B181="",M181=""),"",B181+M181/24)</f>
        <v/>
      </c>
      <c r="O181" s="12"/>
      <c r="P181" s="12"/>
      <c r="Q181" s="18"/>
      <c r="R181" s="17" t="str">
        <f aca="false">IF(OR(B181="",Q181=""),"",(Q181-B181)*24)</f>
        <v/>
      </c>
      <c r="S181" s="11" t="str">
        <f aca="false">IF(OR(N181="",Q181=""),"",IF(Q181&lt;=N181,"Sim","Não"))</f>
        <v/>
      </c>
      <c r="T181" s="19"/>
      <c r="U181" s="12"/>
      <c r="V181" s="12"/>
    </row>
    <row r="182" customFormat="false" ht="15" hidden="false" customHeight="false" outlineLevel="0" collapsed="false">
      <c r="A182" s="12"/>
      <c r="B182" s="18"/>
      <c r="C182" s="12"/>
      <c r="D182" s="11" t="str">
        <f aca="false">IF(C182="","",IFERROR(INDEX(Unidades!$B$2:$B$218,MATCH(C182,Unidades!$A$2:$A$218,0)),"Código não encontrado"))</f>
        <v/>
      </c>
      <c r="E182" s="11" t="str">
        <f aca="false">IF(C182="","",IFERROR(INDEX(Unidades!$C$2:$C$218,MATCH(C182,Unidades!$A$2:$A$218,0)),""))</f>
        <v/>
      </c>
      <c r="F182" s="12"/>
      <c r="G182" s="12"/>
      <c r="H182" s="12"/>
      <c r="I182" s="12"/>
      <c r="J182" s="12"/>
      <c r="K182" s="19"/>
      <c r="L182" s="12"/>
      <c r="M182" s="11" t="str">
        <f aca="false">IF(L182="","",IFERROR(INDEX(Prioridade_SLA!$B$2:$B$5,MATCH(L182,Prioridade_SLA!$A$2:$A$5,0)),""))</f>
        <v/>
      </c>
      <c r="N182" s="16" t="str">
        <f aca="false">IF(OR(B182="",M182=""),"",B182+M182/24)</f>
        <v/>
      </c>
      <c r="O182" s="12"/>
      <c r="P182" s="12"/>
      <c r="Q182" s="18"/>
      <c r="R182" s="17" t="str">
        <f aca="false">IF(OR(B182="",Q182=""),"",(Q182-B182)*24)</f>
        <v/>
      </c>
      <c r="S182" s="11" t="str">
        <f aca="false">IF(OR(N182="",Q182=""),"",IF(Q182&lt;=N182,"Sim","Não"))</f>
        <v/>
      </c>
      <c r="T182" s="19"/>
      <c r="U182" s="12"/>
      <c r="V182" s="12"/>
    </row>
    <row r="183" customFormat="false" ht="15" hidden="false" customHeight="false" outlineLevel="0" collapsed="false">
      <c r="A183" s="12"/>
      <c r="B183" s="18"/>
      <c r="C183" s="12"/>
      <c r="D183" s="11" t="str">
        <f aca="false">IF(C183="","",IFERROR(INDEX(Unidades!$B$2:$B$218,MATCH(C183,Unidades!$A$2:$A$218,0)),"Código não encontrado"))</f>
        <v/>
      </c>
      <c r="E183" s="11" t="str">
        <f aca="false">IF(C183="","",IFERROR(INDEX(Unidades!$C$2:$C$218,MATCH(C183,Unidades!$A$2:$A$218,0)),""))</f>
        <v/>
      </c>
      <c r="F183" s="12"/>
      <c r="G183" s="12"/>
      <c r="H183" s="12"/>
      <c r="I183" s="12"/>
      <c r="J183" s="12"/>
      <c r="K183" s="19"/>
      <c r="L183" s="12"/>
      <c r="M183" s="11" t="str">
        <f aca="false">IF(L183="","",IFERROR(INDEX(Prioridade_SLA!$B$2:$B$5,MATCH(L183,Prioridade_SLA!$A$2:$A$5,0)),""))</f>
        <v/>
      </c>
      <c r="N183" s="16" t="str">
        <f aca="false">IF(OR(B183="",M183=""),"",B183+M183/24)</f>
        <v/>
      </c>
      <c r="O183" s="12"/>
      <c r="P183" s="12"/>
      <c r="Q183" s="18"/>
      <c r="R183" s="17" t="str">
        <f aca="false">IF(OR(B183="",Q183=""),"",(Q183-B183)*24)</f>
        <v/>
      </c>
      <c r="S183" s="11" t="str">
        <f aca="false">IF(OR(N183="",Q183=""),"",IF(Q183&lt;=N183,"Sim","Não"))</f>
        <v/>
      </c>
      <c r="T183" s="19"/>
      <c r="U183" s="12"/>
      <c r="V183" s="12"/>
    </row>
    <row r="184" customFormat="false" ht="15" hidden="false" customHeight="false" outlineLevel="0" collapsed="false">
      <c r="A184" s="12"/>
      <c r="B184" s="18"/>
      <c r="C184" s="12"/>
      <c r="D184" s="11" t="str">
        <f aca="false">IF(C184="","",IFERROR(INDEX(Unidades!$B$2:$B$218,MATCH(C184,Unidades!$A$2:$A$218,0)),"Código não encontrado"))</f>
        <v/>
      </c>
      <c r="E184" s="11" t="str">
        <f aca="false">IF(C184="","",IFERROR(INDEX(Unidades!$C$2:$C$218,MATCH(C184,Unidades!$A$2:$A$218,0)),""))</f>
        <v/>
      </c>
      <c r="F184" s="12"/>
      <c r="G184" s="12"/>
      <c r="H184" s="12"/>
      <c r="I184" s="12"/>
      <c r="J184" s="12"/>
      <c r="K184" s="19"/>
      <c r="L184" s="12"/>
      <c r="M184" s="11" t="str">
        <f aca="false">IF(L184="","",IFERROR(INDEX(Prioridade_SLA!$B$2:$B$5,MATCH(L184,Prioridade_SLA!$A$2:$A$5,0)),""))</f>
        <v/>
      </c>
      <c r="N184" s="16" t="str">
        <f aca="false">IF(OR(B184="",M184=""),"",B184+M184/24)</f>
        <v/>
      </c>
      <c r="O184" s="12"/>
      <c r="P184" s="12"/>
      <c r="Q184" s="18"/>
      <c r="R184" s="17" t="str">
        <f aca="false">IF(OR(B184="",Q184=""),"",(Q184-B184)*24)</f>
        <v/>
      </c>
      <c r="S184" s="11" t="str">
        <f aca="false">IF(OR(N184="",Q184=""),"",IF(Q184&lt;=N184,"Sim","Não"))</f>
        <v/>
      </c>
      <c r="T184" s="19"/>
      <c r="U184" s="12"/>
      <c r="V184" s="12"/>
    </row>
    <row r="185" customFormat="false" ht="15" hidden="false" customHeight="false" outlineLevel="0" collapsed="false">
      <c r="A185" s="12"/>
      <c r="B185" s="18"/>
      <c r="C185" s="12"/>
      <c r="D185" s="11" t="str">
        <f aca="false">IF(C185="","",IFERROR(INDEX(Unidades!$B$2:$B$218,MATCH(C185,Unidades!$A$2:$A$218,0)),"Código não encontrado"))</f>
        <v/>
      </c>
      <c r="E185" s="11" t="str">
        <f aca="false">IF(C185="","",IFERROR(INDEX(Unidades!$C$2:$C$218,MATCH(C185,Unidades!$A$2:$A$218,0)),""))</f>
        <v/>
      </c>
      <c r="F185" s="12"/>
      <c r="G185" s="12"/>
      <c r="H185" s="12"/>
      <c r="I185" s="12"/>
      <c r="J185" s="12"/>
      <c r="K185" s="19"/>
      <c r="L185" s="12"/>
      <c r="M185" s="11" t="str">
        <f aca="false">IF(L185="","",IFERROR(INDEX(Prioridade_SLA!$B$2:$B$5,MATCH(L185,Prioridade_SLA!$A$2:$A$5,0)),""))</f>
        <v/>
      </c>
      <c r="N185" s="16" t="str">
        <f aca="false">IF(OR(B185="",M185=""),"",B185+M185/24)</f>
        <v/>
      </c>
      <c r="O185" s="12"/>
      <c r="P185" s="12"/>
      <c r="Q185" s="18"/>
      <c r="R185" s="17" t="str">
        <f aca="false">IF(OR(B185="",Q185=""),"",(Q185-B185)*24)</f>
        <v/>
      </c>
      <c r="S185" s="11" t="str">
        <f aca="false">IF(OR(N185="",Q185=""),"",IF(Q185&lt;=N185,"Sim","Não"))</f>
        <v/>
      </c>
      <c r="T185" s="19"/>
      <c r="U185" s="12"/>
      <c r="V185" s="12"/>
    </row>
    <row r="186" customFormat="false" ht="15" hidden="false" customHeight="false" outlineLevel="0" collapsed="false">
      <c r="A186" s="12"/>
      <c r="B186" s="18"/>
      <c r="C186" s="12"/>
      <c r="D186" s="11" t="str">
        <f aca="false">IF(C186="","",IFERROR(INDEX(Unidades!$B$2:$B$218,MATCH(C186,Unidades!$A$2:$A$218,0)),"Código não encontrado"))</f>
        <v/>
      </c>
      <c r="E186" s="11" t="str">
        <f aca="false">IF(C186="","",IFERROR(INDEX(Unidades!$C$2:$C$218,MATCH(C186,Unidades!$A$2:$A$218,0)),""))</f>
        <v/>
      </c>
      <c r="F186" s="12"/>
      <c r="G186" s="12"/>
      <c r="H186" s="12"/>
      <c r="I186" s="12"/>
      <c r="J186" s="12"/>
      <c r="K186" s="19"/>
      <c r="L186" s="12"/>
      <c r="M186" s="11" t="str">
        <f aca="false">IF(L186="","",IFERROR(INDEX(Prioridade_SLA!$B$2:$B$5,MATCH(L186,Prioridade_SLA!$A$2:$A$5,0)),""))</f>
        <v/>
      </c>
      <c r="N186" s="16" t="str">
        <f aca="false">IF(OR(B186="",M186=""),"",B186+M186/24)</f>
        <v/>
      </c>
      <c r="O186" s="12"/>
      <c r="P186" s="12"/>
      <c r="Q186" s="18"/>
      <c r="R186" s="17" t="str">
        <f aca="false">IF(OR(B186="",Q186=""),"",(Q186-B186)*24)</f>
        <v/>
      </c>
      <c r="S186" s="11" t="str">
        <f aca="false">IF(OR(N186="",Q186=""),"",IF(Q186&lt;=N186,"Sim","Não"))</f>
        <v/>
      </c>
      <c r="T186" s="19"/>
      <c r="U186" s="12"/>
      <c r="V186" s="12"/>
    </row>
    <row r="187" customFormat="false" ht="15" hidden="false" customHeight="false" outlineLevel="0" collapsed="false">
      <c r="A187" s="12"/>
      <c r="B187" s="18"/>
      <c r="C187" s="12"/>
      <c r="D187" s="11" t="str">
        <f aca="false">IF(C187="","",IFERROR(INDEX(Unidades!$B$2:$B$218,MATCH(C187,Unidades!$A$2:$A$218,0)),"Código não encontrado"))</f>
        <v/>
      </c>
      <c r="E187" s="11" t="str">
        <f aca="false">IF(C187="","",IFERROR(INDEX(Unidades!$C$2:$C$218,MATCH(C187,Unidades!$A$2:$A$218,0)),""))</f>
        <v/>
      </c>
      <c r="F187" s="12"/>
      <c r="G187" s="12"/>
      <c r="H187" s="12"/>
      <c r="I187" s="12"/>
      <c r="J187" s="12"/>
      <c r="K187" s="19"/>
      <c r="L187" s="12"/>
      <c r="M187" s="11" t="str">
        <f aca="false">IF(L187="","",IFERROR(INDEX(Prioridade_SLA!$B$2:$B$5,MATCH(L187,Prioridade_SLA!$A$2:$A$5,0)),""))</f>
        <v/>
      </c>
      <c r="N187" s="16" t="str">
        <f aca="false">IF(OR(B187="",M187=""),"",B187+M187/24)</f>
        <v/>
      </c>
      <c r="O187" s="12"/>
      <c r="P187" s="12"/>
      <c r="Q187" s="18"/>
      <c r="R187" s="17" t="str">
        <f aca="false">IF(OR(B187="",Q187=""),"",(Q187-B187)*24)</f>
        <v/>
      </c>
      <c r="S187" s="11" t="str">
        <f aca="false">IF(OR(N187="",Q187=""),"",IF(Q187&lt;=N187,"Sim","Não"))</f>
        <v/>
      </c>
      <c r="T187" s="19"/>
      <c r="U187" s="12"/>
      <c r="V187" s="12"/>
    </row>
    <row r="188" customFormat="false" ht="15" hidden="false" customHeight="false" outlineLevel="0" collapsed="false">
      <c r="A188" s="12"/>
      <c r="B188" s="18"/>
      <c r="C188" s="12"/>
      <c r="D188" s="11" t="str">
        <f aca="false">IF(C188="","",IFERROR(INDEX(Unidades!$B$2:$B$218,MATCH(C188,Unidades!$A$2:$A$218,0)),"Código não encontrado"))</f>
        <v/>
      </c>
      <c r="E188" s="11" t="str">
        <f aca="false">IF(C188="","",IFERROR(INDEX(Unidades!$C$2:$C$218,MATCH(C188,Unidades!$A$2:$A$218,0)),""))</f>
        <v/>
      </c>
      <c r="F188" s="12"/>
      <c r="G188" s="12"/>
      <c r="H188" s="12"/>
      <c r="I188" s="12"/>
      <c r="J188" s="12"/>
      <c r="K188" s="19"/>
      <c r="L188" s="12"/>
      <c r="M188" s="11" t="str">
        <f aca="false">IF(L188="","",IFERROR(INDEX(Prioridade_SLA!$B$2:$B$5,MATCH(L188,Prioridade_SLA!$A$2:$A$5,0)),""))</f>
        <v/>
      </c>
      <c r="N188" s="16" t="str">
        <f aca="false">IF(OR(B188="",M188=""),"",B188+M188/24)</f>
        <v/>
      </c>
      <c r="O188" s="12"/>
      <c r="P188" s="12"/>
      <c r="Q188" s="18"/>
      <c r="R188" s="17" t="str">
        <f aca="false">IF(OR(B188="",Q188=""),"",(Q188-B188)*24)</f>
        <v/>
      </c>
      <c r="S188" s="11" t="str">
        <f aca="false">IF(OR(N188="",Q188=""),"",IF(Q188&lt;=N188,"Sim","Não"))</f>
        <v/>
      </c>
      <c r="T188" s="19"/>
      <c r="U188" s="12"/>
      <c r="V188" s="12"/>
    </row>
    <row r="189" customFormat="false" ht="15" hidden="false" customHeight="false" outlineLevel="0" collapsed="false">
      <c r="A189" s="12"/>
      <c r="B189" s="18"/>
      <c r="C189" s="12"/>
      <c r="D189" s="11" t="str">
        <f aca="false">IF(C189="","",IFERROR(INDEX(Unidades!$B$2:$B$218,MATCH(C189,Unidades!$A$2:$A$218,0)),"Código não encontrado"))</f>
        <v/>
      </c>
      <c r="E189" s="11" t="str">
        <f aca="false">IF(C189="","",IFERROR(INDEX(Unidades!$C$2:$C$218,MATCH(C189,Unidades!$A$2:$A$218,0)),""))</f>
        <v/>
      </c>
      <c r="F189" s="12"/>
      <c r="G189" s="12"/>
      <c r="H189" s="12"/>
      <c r="I189" s="12"/>
      <c r="J189" s="12"/>
      <c r="K189" s="19"/>
      <c r="L189" s="12"/>
      <c r="M189" s="11" t="str">
        <f aca="false">IF(L189="","",IFERROR(INDEX(Prioridade_SLA!$B$2:$B$5,MATCH(L189,Prioridade_SLA!$A$2:$A$5,0)),""))</f>
        <v/>
      </c>
      <c r="N189" s="16" t="str">
        <f aca="false">IF(OR(B189="",M189=""),"",B189+M189/24)</f>
        <v/>
      </c>
      <c r="O189" s="12"/>
      <c r="P189" s="12"/>
      <c r="Q189" s="18"/>
      <c r="R189" s="17" t="str">
        <f aca="false">IF(OR(B189="",Q189=""),"",(Q189-B189)*24)</f>
        <v/>
      </c>
      <c r="S189" s="11" t="str">
        <f aca="false">IF(OR(N189="",Q189=""),"",IF(Q189&lt;=N189,"Sim","Não"))</f>
        <v/>
      </c>
      <c r="T189" s="19"/>
      <c r="U189" s="12"/>
      <c r="V189" s="12"/>
    </row>
    <row r="190" customFormat="false" ht="15" hidden="false" customHeight="false" outlineLevel="0" collapsed="false">
      <c r="A190" s="12"/>
      <c r="B190" s="18"/>
      <c r="C190" s="12"/>
      <c r="D190" s="11" t="str">
        <f aca="false">IF(C190="","",IFERROR(INDEX(Unidades!$B$2:$B$218,MATCH(C190,Unidades!$A$2:$A$218,0)),"Código não encontrado"))</f>
        <v/>
      </c>
      <c r="E190" s="11" t="str">
        <f aca="false">IF(C190="","",IFERROR(INDEX(Unidades!$C$2:$C$218,MATCH(C190,Unidades!$A$2:$A$218,0)),""))</f>
        <v/>
      </c>
      <c r="F190" s="12"/>
      <c r="G190" s="12"/>
      <c r="H190" s="12"/>
      <c r="I190" s="12"/>
      <c r="J190" s="12"/>
      <c r="K190" s="19"/>
      <c r="L190" s="12"/>
      <c r="M190" s="11" t="str">
        <f aca="false">IF(L190="","",IFERROR(INDEX(Prioridade_SLA!$B$2:$B$5,MATCH(L190,Prioridade_SLA!$A$2:$A$5,0)),""))</f>
        <v/>
      </c>
      <c r="N190" s="16" t="str">
        <f aca="false">IF(OR(B190="",M190=""),"",B190+M190/24)</f>
        <v/>
      </c>
      <c r="O190" s="12"/>
      <c r="P190" s="12"/>
      <c r="Q190" s="18"/>
      <c r="R190" s="17" t="str">
        <f aca="false">IF(OR(B190="",Q190=""),"",(Q190-B190)*24)</f>
        <v/>
      </c>
      <c r="S190" s="11" t="str">
        <f aca="false">IF(OR(N190="",Q190=""),"",IF(Q190&lt;=N190,"Sim","Não"))</f>
        <v/>
      </c>
      <c r="T190" s="19"/>
      <c r="U190" s="12"/>
      <c r="V190" s="12"/>
    </row>
    <row r="191" customFormat="false" ht="15" hidden="false" customHeight="false" outlineLevel="0" collapsed="false">
      <c r="A191" s="12"/>
      <c r="B191" s="18"/>
      <c r="C191" s="12"/>
      <c r="D191" s="11" t="str">
        <f aca="false">IF(C191="","",IFERROR(INDEX(Unidades!$B$2:$B$218,MATCH(C191,Unidades!$A$2:$A$218,0)),"Código não encontrado"))</f>
        <v/>
      </c>
      <c r="E191" s="11" t="str">
        <f aca="false">IF(C191="","",IFERROR(INDEX(Unidades!$C$2:$C$218,MATCH(C191,Unidades!$A$2:$A$218,0)),""))</f>
        <v/>
      </c>
      <c r="F191" s="12"/>
      <c r="G191" s="12"/>
      <c r="H191" s="12"/>
      <c r="I191" s="12"/>
      <c r="J191" s="12"/>
      <c r="K191" s="19"/>
      <c r="L191" s="12"/>
      <c r="M191" s="11" t="str">
        <f aca="false">IF(L191="","",IFERROR(INDEX(Prioridade_SLA!$B$2:$B$5,MATCH(L191,Prioridade_SLA!$A$2:$A$5,0)),""))</f>
        <v/>
      </c>
      <c r="N191" s="16" t="str">
        <f aca="false">IF(OR(B191="",M191=""),"",B191+M191/24)</f>
        <v/>
      </c>
      <c r="O191" s="12"/>
      <c r="P191" s="12"/>
      <c r="Q191" s="18"/>
      <c r="R191" s="17" t="str">
        <f aca="false">IF(OR(B191="",Q191=""),"",(Q191-B191)*24)</f>
        <v/>
      </c>
      <c r="S191" s="11" t="str">
        <f aca="false">IF(OR(N191="",Q191=""),"",IF(Q191&lt;=N191,"Sim","Não"))</f>
        <v/>
      </c>
      <c r="T191" s="19"/>
      <c r="U191" s="12"/>
      <c r="V191" s="12"/>
    </row>
    <row r="192" customFormat="false" ht="15" hidden="false" customHeight="false" outlineLevel="0" collapsed="false">
      <c r="A192" s="12"/>
      <c r="B192" s="18"/>
      <c r="C192" s="12"/>
      <c r="D192" s="11" t="str">
        <f aca="false">IF(C192="","",IFERROR(INDEX(Unidades!$B$2:$B$218,MATCH(C192,Unidades!$A$2:$A$218,0)),"Código não encontrado"))</f>
        <v/>
      </c>
      <c r="E192" s="11" t="str">
        <f aca="false">IF(C192="","",IFERROR(INDEX(Unidades!$C$2:$C$218,MATCH(C192,Unidades!$A$2:$A$218,0)),""))</f>
        <v/>
      </c>
      <c r="F192" s="12"/>
      <c r="G192" s="12"/>
      <c r="H192" s="12"/>
      <c r="I192" s="12"/>
      <c r="J192" s="12"/>
      <c r="K192" s="19"/>
      <c r="L192" s="12"/>
      <c r="M192" s="11" t="str">
        <f aca="false">IF(L192="","",IFERROR(INDEX(Prioridade_SLA!$B$2:$B$5,MATCH(L192,Prioridade_SLA!$A$2:$A$5,0)),""))</f>
        <v/>
      </c>
      <c r="N192" s="16" t="str">
        <f aca="false">IF(OR(B192="",M192=""),"",B192+M192/24)</f>
        <v/>
      </c>
      <c r="O192" s="12"/>
      <c r="P192" s="12"/>
      <c r="Q192" s="18"/>
      <c r="R192" s="17" t="str">
        <f aca="false">IF(OR(B192="",Q192=""),"",(Q192-B192)*24)</f>
        <v/>
      </c>
      <c r="S192" s="11" t="str">
        <f aca="false">IF(OR(N192="",Q192=""),"",IF(Q192&lt;=N192,"Sim","Não"))</f>
        <v/>
      </c>
      <c r="T192" s="19"/>
      <c r="U192" s="12"/>
      <c r="V192" s="12"/>
    </row>
    <row r="193" customFormat="false" ht="15" hidden="false" customHeight="false" outlineLevel="0" collapsed="false">
      <c r="A193" s="12"/>
      <c r="B193" s="18"/>
      <c r="C193" s="12"/>
      <c r="D193" s="11" t="str">
        <f aca="false">IF(C193="","",IFERROR(INDEX(Unidades!$B$2:$B$218,MATCH(C193,Unidades!$A$2:$A$218,0)),"Código não encontrado"))</f>
        <v/>
      </c>
      <c r="E193" s="11" t="str">
        <f aca="false">IF(C193="","",IFERROR(INDEX(Unidades!$C$2:$C$218,MATCH(C193,Unidades!$A$2:$A$218,0)),""))</f>
        <v/>
      </c>
      <c r="F193" s="12"/>
      <c r="G193" s="12"/>
      <c r="H193" s="12"/>
      <c r="I193" s="12"/>
      <c r="J193" s="12"/>
      <c r="K193" s="19"/>
      <c r="L193" s="12"/>
      <c r="M193" s="11" t="str">
        <f aca="false">IF(L193="","",IFERROR(INDEX(Prioridade_SLA!$B$2:$B$5,MATCH(L193,Prioridade_SLA!$A$2:$A$5,0)),""))</f>
        <v/>
      </c>
      <c r="N193" s="16" t="str">
        <f aca="false">IF(OR(B193="",M193=""),"",B193+M193/24)</f>
        <v/>
      </c>
      <c r="O193" s="12"/>
      <c r="P193" s="12"/>
      <c r="Q193" s="18"/>
      <c r="R193" s="17" t="str">
        <f aca="false">IF(OR(B193="",Q193=""),"",(Q193-B193)*24)</f>
        <v/>
      </c>
      <c r="S193" s="11" t="str">
        <f aca="false">IF(OR(N193="",Q193=""),"",IF(Q193&lt;=N193,"Sim","Não"))</f>
        <v/>
      </c>
      <c r="T193" s="19"/>
      <c r="U193" s="12"/>
      <c r="V193" s="12"/>
    </row>
    <row r="194" customFormat="false" ht="15" hidden="false" customHeight="false" outlineLevel="0" collapsed="false">
      <c r="A194" s="12"/>
      <c r="B194" s="18"/>
      <c r="C194" s="12"/>
      <c r="D194" s="11" t="str">
        <f aca="false">IF(C194="","",IFERROR(INDEX(Unidades!$B$2:$B$218,MATCH(C194,Unidades!$A$2:$A$218,0)),"Código não encontrado"))</f>
        <v/>
      </c>
      <c r="E194" s="11" t="str">
        <f aca="false">IF(C194="","",IFERROR(INDEX(Unidades!$C$2:$C$218,MATCH(C194,Unidades!$A$2:$A$218,0)),""))</f>
        <v/>
      </c>
      <c r="F194" s="12"/>
      <c r="G194" s="12"/>
      <c r="H194" s="12"/>
      <c r="I194" s="12"/>
      <c r="J194" s="12"/>
      <c r="K194" s="19"/>
      <c r="L194" s="12"/>
      <c r="M194" s="11" t="str">
        <f aca="false">IF(L194="","",IFERROR(INDEX(Prioridade_SLA!$B$2:$B$5,MATCH(L194,Prioridade_SLA!$A$2:$A$5,0)),""))</f>
        <v/>
      </c>
      <c r="N194" s="16" t="str">
        <f aca="false">IF(OR(B194="",M194=""),"",B194+M194/24)</f>
        <v/>
      </c>
      <c r="O194" s="12"/>
      <c r="P194" s="12"/>
      <c r="Q194" s="18"/>
      <c r="R194" s="17" t="str">
        <f aca="false">IF(OR(B194="",Q194=""),"",(Q194-B194)*24)</f>
        <v/>
      </c>
      <c r="S194" s="11" t="str">
        <f aca="false">IF(OR(N194="",Q194=""),"",IF(Q194&lt;=N194,"Sim","Não"))</f>
        <v/>
      </c>
      <c r="T194" s="19"/>
      <c r="U194" s="12"/>
      <c r="V194" s="12"/>
    </row>
    <row r="195" customFormat="false" ht="15" hidden="false" customHeight="false" outlineLevel="0" collapsed="false">
      <c r="A195" s="12"/>
      <c r="B195" s="18"/>
      <c r="C195" s="12"/>
      <c r="D195" s="11" t="str">
        <f aca="false">IF(C195="","",IFERROR(INDEX(Unidades!$B$2:$B$218,MATCH(C195,Unidades!$A$2:$A$218,0)),"Código não encontrado"))</f>
        <v/>
      </c>
      <c r="E195" s="11" t="str">
        <f aca="false">IF(C195="","",IFERROR(INDEX(Unidades!$C$2:$C$218,MATCH(C195,Unidades!$A$2:$A$218,0)),""))</f>
        <v/>
      </c>
      <c r="F195" s="12"/>
      <c r="G195" s="12"/>
      <c r="H195" s="12"/>
      <c r="I195" s="12"/>
      <c r="J195" s="12"/>
      <c r="K195" s="19"/>
      <c r="L195" s="12"/>
      <c r="M195" s="11" t="str">
        <f aca="false">IF(L195="","",IFERROR(INDEX(Prioridade_SLA!$B$2:$B$5,MATCH(L195,Prioridade_SLA!$A$2:$A$5,0)),""))</f>
        <v/>
      </c>
      <c r="N195" s="16" t="str">
        <f aca="false">IF(OR(B195="",M195=""),"",B195+M195/24)</f>
        <v/>
      </c>
      <c r="O195" s="12"/>
      <c r="P195" s="12"/>
      <c r="Q195" s="18"/>
      <c r="R195" s="17" t="str">
        <f aca="false">IF(OR(B195="",Q195=""),"",(Q195-B195)*24)</f>
        <v/>
      </c>
      <c r="S195" s="11" t="str">
        <f aca="false">IF(OR(N195="",Q195=""),"",IF(Q195&lt;=N195,"Sim","Não"))</f>
        <v/>
      </c>
      <c r="T195" s="19"/>
      <c r="U195" s="12"/>
      <c r="V195" s="12"/>
    </row>
    <row r="196" customFormat="false" ht="15" hidden="false" customHeight="false" outlineLevel="0" collapsed="false">
      <c r="A196" s="12"/>
      <c r="B196" s="18"/>
      <c r="C196" s="12"/>
      <c r="D196" s="11" t="str">
        <f aca="false">IF(C196="","",IFERROR(INDEX(Unidades!$B$2:$B$218,MATCH(C196,Unidades!$A$2:$A$218,0)),"Código não encontrado"))</f>
        <v/>
      </c>
      <c r="E196" s="11" t="str">
        <f aca="false">IF(C196="","",IFERROR(INDEX(Unidades!$C$2:$C$218,MATCH(C196,Unidades!$A$2:$A$218,0)),""))</f>
        <v/>
      </c>
      <c r="F196" s="12"/>
      <c r="G196" s="12"/>
      <c r="H196" s="12"/>
      <c r="I196" s="12"/>
      <c r="J196" s="12"/>
      <c r="K196" s="19"/>
      <c r="L196" s="12"/>
      <c r="M196" s="11" t="str">
        <f aca="false">IF(L196="","",IFERROR(INDEX(Prioridade_SLA!$B$2:$B$5,MATCH(L196,Prioridade_SLA!$A$2:$A$5,0)),""))</f>
        <v/>
      </c>
      <c r="N196" s="16" t="str">
        <f aca="false">IF(OR(B196="",M196=""),"",B196+M196/24)</f>
        <v/>
      </c>
      <c r="O196" s="12"/>
      <c r="P196" s="12"/>
      <c r="Q196" s="18"/>
      <c r="R196" s="17" t="str">
        <f aca="false">IF(OR(B196="",Q196=""),"",(Q196-B196)*24)</f>
        <v/>
      </c>
      <c r="S196" s="11" t="str">
        <f aca="false">IF(OR(N196="",Q196=""),"",IF(Q196&lt;=N196,"Sim","Não"))</f>
        <v/>
      </c>
      <c r="T196" s="19"/>
      <c r="U196" s="12"/>
      <c r="V196" s="12"/>
    </row>
    <row r="197" customFormat="false" ht="15" hidden="false" customHeight="false" outlineLevel="0" collapsed="false">
      <c r="A197" s="12"/>
      <c r="B197" s="18"/>
      <c r="C197" s="12"/>
      <c r="D197" s="11" t="str">
        <f aca="false">IF(C197="","",IFERROR(INDEX(Unidades!$B$2:$B$218,MATCH(C197,Unidades!$A$2:$A$218,0)),"Código não encontrado"))</f>
        <v/>
      </c>
      <c r="E197" s="11" t="str">
        <f aca="false">IF(C197="","",IFERROR(INDEX(Unidades!$C$2:$C$218,MATCH(C197,Unidades!$A$2:$A$218,0)),""))</f>
        <v/>
      </c>
      <c r="F197" s="12"/>
      <c r="G197" s="12"/>
      <c r="H197" s="12"/>
      <c r="I197" s="12"/>
      <c r="J197" s="12"/>
      <c r="K197" s="19"/>
      <c r="L197" s="12"/>
      <c r="M197" s="11" t="str">
        <f aca="false">IF(L197="","",IFERROR(INDEX(Prioridade_SLA!$B$2:$B$5,MATCH(L197,Prioridade_SLA!$A$2:$A$5,0)),""))</f>
        <v/>
      </c>
      <c r="N197" s="16" t="str">
        <f aca="false">IF(OR(B197="",M197=""),"",B197+M197/24)</f>
        <v/>
      </c>
      <c r="O197" s="12"/>
      <c r="P197" s="12"/>
      <c r="Q197" s="18"/>
      <c r="R197" s="17" t="str">
        <f aca="false">IF(OR(B197="",Q197=""),"",(Q197-B197)*24)</f>
        <v/>
      </c>
      <c r="S197" s="11" t="str">
        <f aca="false">IF(OR(N197="",Q197=""),"",IF(Q197&lt;=N197,"Sim","Não"))</f>
        <v/>
      </c>
      <c r="T197" s="19"/>
      <c r="U197" s="12"/>
      <c r="V197" s="12"/>
    </row>
    <row r="198" customFormat="false" ht="15" hidden="false" customHeight="false" outlineLevel="0" collapsed="false">
      <c r="A198" s="12"/>
      <c r="B198" s="18"/>
      <c r="C198" s="12"/>
      <c r="D198" s="11" t="str">
        <f aca="false">IF(C198="","",IFERROR(INDEX(Unidades!$B$2:$B$218,MATCH(C198,Unidades!$A$2:$A$218,0)),"Código não encontrado"))</f>
        <v/>
      </c>
      <c r="E198" s="11" t="str">
        <f aca="false">IF(C198="","",IFERROR(INDEX(Unidades!$C$2:$C$218,MATCH(C198,Unidades!$A$2:$A$218,0)),""))</f>
        <v/>
      </c>
      <c r="F198" s="12"/>
      <c r="G198" s="12"/>
      <c r="H198" s="12"/>
      <c r="I198" s="12"/>
      <c r="J198" s="12"/>
      <c r="K198" s="19"/>
      <c r="L198" s="12"/>
      <c r="M198" s="11" t="str">
        <f aca="false">IF(L198="","",IFERROR(INDEX(Prioridade_SLA!$B$2:$B$5,MATCH(L198,Prioridade_SLA!$A$2:$A$5,0)),""))</f>
        <v/>
      </c>
      <c r="N198" s="16" t="str">
        <f aca="false">IF(OR(B198="",M198=""),"",B198+M198/24)</f>
        <v/>
      </c>
      <c r="O198" s="12"/>
      <c r="P198" s="12"/>
      <c r="Q198" s="18"/>
      <c r="R198" s="17" t="str">
        <f aca="false">IF(OR(B198="",Q198=""),"",(Q198-B198)*24)</f>
        <v/>
      </c>
      <c r="S198" s="11" t="str">
        <f aca="false">IF(OR(N198="",Q198=""),"",IF(Q198&lt;=N198,"Sim","Não"))</f>
        <v/>
      </c>
      <c r="T198" s="19"/>
      <c r="U198" s="12"/>
      <c r="V198" s="12"/>
    </row>
    <row r="199" customFormat="false" ht="15" hidden="false" customHeight="false" outlineLevel="0" collapsed="false">
      <c r="A199" s="12"/>
      <c r="B199" s="18"/>
      <c r="C199" s="12"/>
      <c r="D199" s="11" t="str">
        <f aca="false">IF(C199="","",IFERROR(INDEX(Unidades!$B$2:$B$218,MATCH(C199,Unidades!$A$2:$A$218,0)),"Código não encontrado"))</f>
        <v/>
      </c>
      <c r="E199" s="11" t="str">
        <f aca="false">IF(C199="","",IFERROR(INDEX(Unidades!$C$2:$C$218,MATCH(C199,Unidades!$A$2:$A$218,0)),""))</f>
        <v/>
      </c>
      <c r="F199" s="12"/>
      <c r="G199" s="12"/>
      <c r="H199" s="12"/>
      <c r="I199" s="12"/>
      <c r="J199" s="12"/>
      <c r="K199" s="19"/>
      <c r="L199" s="12"/>
      <c r="M199" s="11" t="str">
        <f aca="false">IF(L199="","",IFERROR(INDEX(Prioridade_SLA!$B$2:$B$5,MATCH(L199,Prioridade_SLA!$A$2:$A$5,0)),""))</f>
        <v/>
      </c>
      <c r="N199" s="16" t="str">
        <f aca="false">IF(OR(B199="",M199=""),"",B199+M199/24)</f>
        <v/>
      </c>
      <c r="O199" s="12"/>
      <c r="P199" s="12"/>
      <c r="Q199" s="18"/>
      <c r="R199" s="17" t="str">
        <f aca="false">IF(OR(B199="",Q199=""),"",(Q199-B199)*24)</f>
        <v/>
      </c>
      <c r="S199" s="11" t="str">
        <f aca="false">IF(OR(N199="",Q199=""),"",IF(Q199&lt;=N199,"Sim","Não"))</f>
        <v/>
      </c>
      <c r="T199" s="19"/>
      <c r="U199" s="12"/>
      <c r="V199" s="12"/>
    </row>
    <row r="200" customFormat="false" ht="15" hidden="false" customHeight="false" outlineLevel="0" collapsed="false">
      <c r="A200" s="12"/>
      <c r="B200" s="18"/>
      <c r="C200" s="12"/>
      <c r="D200" s="11" t="str">
        <f aca="false">IF(C200="","",IFERROR(INDEX(Unidades!$B$2:$B$218,MATCH(C200,Unidades!$A$2:$A$218,0)),"Código não encontrado"))</f>
        <v/>
      </c>
      <c r="E200" s="11" t="str">
        <f aca="false">IF(C200="","",IFERROR(INDEX(Unidades!$C$2:$C$218,MATCH(C200,Unidades!$A$2:$A$218,0)),""))</f>
        <v/>
      </c>
      <c r="F200" s="12"/>
      <c r="G200" s="12"/>
      <c r="H200" s="12"/>
      <c r="I200" s="12"/>
      <c r="J200" s="12"/>
      <c r="K200" s="19"/>
      <c r="L200" s="12"/>
      <c r="M200" s="11" t="str">
        <f aca="false">IF(L200="","",IFERROR(INDEX(Prioridade_SLA!$B$2:$B$5,MATCH(L200,Prioridade_SLA!$A$2:$A$5,0)),""))</f>
        <v/>
      </c>
      <c r="N200" s="16" t="str">
        <f aca="false">IF(OR(B200="",M200=""),"",B200+M200/24)</f>
        <v/>
      </c>
      <c r="O200" s="12"/>
      <c r="P200" s="12"/>
      <c r="Q200" s="18"/>
      <c r="R200" s="17" t="str">
        <f aca="false">IF(OR(B200="",Q200=""),"",(Q200-B200)*24)</f>
        <v/>
      </c>
      <c r="S200" s="11" t="str">
        <f aca="false">IF(OR(N200="",Q200=""),"",IF(Q200&lt;=N200,"Sim","Não"))</f>
        <v/>
      </c>
      <c r="T200" s="19"/>
      <c r="U200" s="12"/>
      <c r="V200" s="12"/>
    </row>
    <row r="201" customFormat="false" ht="15" hidden="false" customHeight="false" outlineLevel="0" collapsed="false">
      <c r="A201" s="12"/>
      <c r="B201" s="18"/>
      <c r="C201" s="12"/>
      <c r="D201" s="11" t="str">
        <f aca="false">IF(C201="","",IFERROR(INDEX(Unidades!$B$2:$B$218,MATCH(C201,Unidades!$A$2:$A$218,0)),"Código não encontrado"))</f>
        <v/>
      </c>
      <c r="E201" s="11" t="str">
        <f aca="false">IF(C201="","",IFERROR(INDEX(Unidades!$C$2:$C$218,MATCH(C201,Unidades!$A$2:$A$218,0)),""))</f>
        <v/>
      </c>
      <c r="F201" s="12"/>
      <c r="G201" s="12"/>
      <c r="H201" s="12"/>
      <c r="I201" s="12"/>
      <c r="J201" s="12"/>
      <c r="K201" s="19"/>
      <c r="L201" s="12"/>
      <c r="M201" s="11" t="str">
        <f aca="false">IF(L201="","",IFERROR(INDEX(Prioridade_SLA!$B$2:$B$5,MATCH(L201,Prioridade_SLA!$A$2:$A$5,0)),""))</f>
        <v/>
      </c>
      <c r="N201" s="16" t="str">
        <f aca="false">IF(OR(B201="",M201=""),"",B201+M201/24)</f>
        <v/>
      </c>
      <c r="O201" s="12"/>
      <c r="P201" s="12"/>
      <c r="Q201" s="18"/>
      <c r="R201" s="17" t="str">
        <f aca="false">IF(OR(B201="",Q201=""),"",(Q201-B201)*24)</f>
        <v/>
      </c>
      <c r="S201" s="11" t="str">
        <f aca="false">IF(OR(N201="",Q201=""),"",IF(Q201&lt;=N201,"Sim","Não"))</f>
        <v/>
      </c>
      <c r="T201" s="19"/>
      <c r="U201" s="12"/>
      <c r="V201" s="12"/>
    </row>
    <row r="202" customFormat="false" ht="15" hidden="false" customHeight="false" outlineLevel="0" collapsed="false">
      <c r="A202" s="12"/>
      <c r="B202" s="18"/>
      <c r="C202" s="12"/>
      <c r="D202" s="11" t="str">
        <f aca="false">IF(C202="","",IFERROR(INDEX(Unidades!$B$2:$B$218,MATCH(C202,Unidades!$A$2:$A$218,0)),"Código não encontrado"))</f>
        <v/>
      </c>
      <c r="E202" s="11" t="str">
        <f aca="false">IF(C202="","",IFERROR(INDEX(Unidades!$C$2:$C$218,MATCH(C202,Unidades!$A$2:$A$218,0)),""))</f>
        <v/>
      </c>
      <c r="F202" s="12"/>
      <c r="G202" s="12"/>
      <c r="H202" s="12"/>
      <c r="I202" s="12"/>
      <c r="J202" s="12"/>
      <c r="K202" s="19"/>
      <c r="L202" s="12"/>
      <c r="M202" s="11" t="str">
        <f aca="false">IF(L202="","",IFERROR(INDEX(Prioridade_SLA!$B$2:$B$5,MATCH(L202,Prioridade_SLA!$A$2:$A$5,0)),""))</f>
        <v/>
      </c>
      <c r="N202" s="16" t="str">
        <f aca="false">IF(OR(B202="",M202=""),"",B202+M202/24)</f>
        <v/>
      </c>
      <c r="O202" s="12"/>
      <c r="P202" s="12"/>
      <c r="Q202" s="18"/>
      <c r="R202" s="17" t="str">
        <f aca="false">IF(OR(B202="",Q202=""),"",(Q202-B202)*24)</f>
        <v/>
      </c>
      <c r="S202" s="11" t="str">
        <f aca="false">IF(OR(N202="",Q202=""),"",IF(Q202&lt;=N202,"Sim","Não"))</f>
        <v/>
      </c>
      <c r="T202" s="19"/>
      <c r="U202" s="12"/>
      <c r="V202" s="12"/>
    </row>
    <row r="203" customFormat="false" ht="15" hidden="false" customHeight="false" outlineLevel="0" collapsed="false">
      <c r="A203" s="12"/>
      <c r="B203" s="18"/>
      <c r="C203" s="12"/>
      <c r="D203" s="11" t="str">
        <f aca="false">IF(C203="","",IFERROR(INDEX(Unidades!$B$2:$B$218,MATCH(C203,Unidades!$A$2:$A$218,0)),"Código não encontrado"))</f>
        <v/>
      </c>
      <c r="E203" s="11" t="str">
        <f aca="false">IF(C203="","",IFERROR(INDEX(Unidades!$C$2:$C$218,MATCH(C203,Unidades!$A$2:$A$218,0)),""))</f>
        <v/>
      </c>
      <c r="F203" s="12"/>
      <c r="G203" s="12"/>
      <c r="H203" s="12"/>
      <c r="I203" s="12"/>
      <c r="J203" s="12"/>
      <c r="K203" s="19"/>
      <c r="L203" s="12"/>
      <c r="M203" s="11" t="str">
        <f aca="false">IF(L203="","",IFERROR(INDEX(Prioridade_SLA!$B$2:$B$5,MATCH(L203,Prioridade_SLA!$A$2:$A$5,0)),""))</f>
        <v/>
      </c>
      <c r="N203" s="16" t="str">
        <f aca="false">IF(OR(B203="",M203=""),"",B203+M203/24)</f>
        <v/>
      </c>
      <c r="O203" s="12"/>
      <c r="P203" s="12"/>
      <c r="Q203" s="18"/>
      <c r="R203" s="17" t="str">
        <f aca="false">IF(OR(B203="",Q203=""),"",(Q203-B203)*24)</f>
        <v/>
      </c>
      <c r="S203" s="11" t="str">
        <f aca="false">IF(OR(N203="",Q203=""),"",IF(Q203&lt;=N203,"Sim","Não"))</f>
        <v/>
      </c>
      <c r="T203" s="19"/>
      <c r="U203" s="12"/>
      <c r="V203" s="12"/>
    </row>
    <row r="204" customFormat="false" ht="15" hidden="false" customHeight="false" outlineLevel="0" collapsed="false">
      <c r="A204" s="12"/>
      <c r="B204" s="18"/>
      <c r="C204" s="12"/>
      <c r="D204" s="11" t="str">
        <f aca="false">IF(C204="","",IFERROR(INDEX(Unidades!$B$2:$B$218,MATCH(C204,Unidades!$A$2:$A$218,0)),"Código não encontrado"))</f>
        <v/>
      </c>
      <c r="E204" s="11" t="str">
        <f aca="false">IF(C204="","",IFERROR(INDEX(Unidades!$C$2:$C$218,MATCH(C204,Unidades!$A$2:$A$218,0)),""))</f>
        <v/>
      </c>
      <c r="F204" s="12"/>
      <c r="G204" s="12"/>
      <c r="H204" s="12"/>
      <c r="I204" s="12"/>
      <c r="J204" s="12"/>
      <c r="K204" s="19"/>
      <c r="L204" s="12"/>
      <c r="M204" s="11" t="str">
        <f aca="false">IF(L204="","",IFERROR(INDEX(Prioridade_SLA!$B$2:$B$5,MATCH(L204,Prioridade_SLA!$A$2:$A$5,0)),""))</f>
        <v/>
      </c>
      <c r="N204" s="16" t="str">
        <f aca="false">IF(OR(B204="",M204=""),"",B204+M204/24)</f>
        <v/>
      </c>
      <c r="O204" s="12"/>
      <c r="P204" s="12"/>
      <c r="Q204" s="18"/>
      <c r="R204" s="17" t="str">
        <f aca="false">IF(OR(B204="",Q204=""),"",(Q204-B204)*24)</f>
        <v/>
      </c>
      <c r="S204" s="11" t="str">
        <f aca="false">IF(OR(N204="",Q204=""),"",IF(Q204&lt;=N204,"Sim","Não"))</f>
        <v/>
      </c>
      <c r="T204" s="19"/>
      <c r="U204" s="12"/>
      <c r="V204" s="12"/>
    </row>
    <row r="205" customFormat="false" ht="15" hidden="false" customHeight="false" outlineLevel="0" collapsed="false">
      <c r="A205" s="12"/>
      <c r="B205" s="18"/>
      <c r="C205" s="12"/>
      <c r="D205" s="11" t="str">
        <f aca="false">IF(C205="","",IFERROR(INDEX(Unidades!$B$2:$B$218,MATCH(C205,Unidades!$A$2:$A$218,0)),"Código não encontrado"))</f>
        <v/>
      </c>
      <c r="E205" s="11" t="str">
        <f aca="false">IF(C205="","",IFERROR(INDEX(Unidades!$C$2:$C$218,MATCH(C205,Unidades!$A$2:$A$218,0)),""))</f>
        <v/>
      </c>
      <c r="F205" s="12"/>
      <c r="G205" s="12"/>
      <c r="H205" s="12"/>
      <c r="I205" s="12"/>
      <c r="J205" s="12"/>
      <c r="K205" s="19"/>
      <c r="L205" s="12"/>
      <c r="M205" s="11" t="str">
        <f aca="false">IF(L205="","",IFERROR(INDEX(Prioridade_SLA!$B$2:$B$5,MATCH(L205,Prioridade_SLA!$A$2:$A$5,0)),""))</f>
        <v/>
      </c>
      <c r="N205" s="16" t="str">
        <f aca="false">IF(OR(B205="",M205=""),"",B205+M205/24)</f>
        <v/>
      </c>
      <c r="O205" s="12"/>
      <c r="P205" s="12"/>
      <c r="Q205" s="18"/>
      <c r="R205" s="17" t="str">
        <f aca="false">IF(OR(B205="",Q205=""),"",(Q205-B205)*24)</f>
        <v/>
      </c>
      <c r="S205" s="11" t="str">
        <f aca="false">IF(OR(N205="",Q205=""),"",IF(Q205&lt;=N205,"Sim","Não"))</f>
        <v/>
      </c>
      <c r="T205" s="19"/>
      <c r="U205" s="12"/>
      <c r="V205" s="12"/>
    </row>
    <row r="206" customFormat="false" ht="15" hidden="false" customHeight="false" outlineLevel="0" collapsed="false">
      <c r="A206" s="12"/>
      <c r="B206" s="18"/>
      <c r="C206" s="12"/>
      <c r="D206" s="11" t="str">
        <f aca="false">IF(C206="","",IFERROR(INDEX(Unidades!$B$2:$B$218,MATCH(C206,Unidades!$A$2:$A$218,0)),"Código não encontrado"))</f>
        <v/>
      </c>
      <c r="E206" s="11" t="str">
        <f aca="false">IF(C206="","",IFERROR(INDEX(Unidades!$C$2:$C$218,MATCH(C206,Unidades!$A$2:$A$218,0)),""))</f>
        <v/>
      </c>
      <c r="F206" s="12"/>
      <c r="G206" s="12"/>
      <c r="H206" s="12"/>
      <c r="I206" s="12"/>
      <c r="J206" s="12"/>
      <c r="K206" s="19"/>
      <c r="L206" s="12"/>
      <c r="M206" s="11" t="str">
        <f aca="false">IF(L206="","",IFERROR(INDEX(Prioridade_SLA!$B$2:$B$5,MATCH(L206,Prioridade_SLA!$A$2:$A$5,0)),""))</f>
        <v/>
      </c>
      <c r="N206" s="16" t="str">
        <f aca="false">IF(OR(B206="",M206=""),"",B206+M206/24)</f>
        <v/>
      </c>
      <c r="O206" s="12"/>
      <c r="P206" s="12"/>
      <c r="Q206" s="18"/>
      <c r="R206" s="17" t="str">
        <f aca="false">IF(OR(B206="",Q206=""),"",(Q206-B206)*24)</f>
        <v/>
      </c>
      <c r="S206" s="11" t="str">
        <f aca="false">IF(OR(N206="",Q206=""),"",IF(Q206&lt;=N206,"Sim","Não"))</f>
        <v/>
      </c>
      <c r="T206" s="19"/>
      <c r="U206" s="12"/>
      <c r="V206" s="12"/>
    </row>
    <row r="207" customFormat="false" ht="15" hidden="false" customHeight="false" outlineLevel="0" collapsed="false">
      <c r="A207" s="12"/>
      <c r="B207" s="18"/>
      <c r="C207" s="12"/>
      <c r="D207" s="11" t="str">
        <f aca="false">IF(C207="","",IFERROR(INDEX(Unidades!$B$2:$B$218,MATCH(C207,Unidades!$A$2:$A$218,0)),"Código não encontrado"))</f>
        <v/>
      </c>
      <c r="E207" s="11" t="str">
        <f aca="false">IF(C207="","",IFERROR(INDEX(Unidades!$C$2:$C$218,MATCH(C207,Unidades!$A$2:$A$218,0)),""))</f>
        <v/>
      </c>
      <c r="F207" s="12"/>
      <c r="G207" s="12"/>
      <c r="H207" s="12"/>
      <c r="I207" s="12"/>
      <c r="J207" s="12"/>
      <c r="K207" s="19"/>
      <c r="L207" s="12"/>
      <c r="M207" s="11" t="str">
        <f aca="false">IF(L207="","",IFERROR(INDEX(Prioridade_SLA!$B$2:$B$5,MATCH(L207,Prioridade_SLA!$A$2:$A$5,0)),""))</f>
        <v/>
      </c>
      <c r="N207" s="16" t="str">
        <f aca="false">IF(OR(B207="",M207=""),"",B207+M207/24)</f>
        <v/>
      </c>
      <c r="O207" s="12"/>
      <c r="P207" s="12"/>
      <c r="Q207" s="18"/>
      <c r="R207" s="17" t="str">
        <f aca="false">IF(OR(B207="",Q207=""),"",(Q207-B207)*24)</f>
        <v/>
      </c>
      <c r="S207" s="11" t="str">
        <f aca="false">IF(OR(N207="",Q207=""),"",IF(Q207&lt;=N207,"Sim","Não"))</f>
        <v/>
      </c>
      <c r="T207" s="19"/>
      <c r="U207" s="12"/>
      <c r="V207" s="12"/>
    </row>
    <row r="208" customFormat="false" ht="15" hidden="false" customHeight="false" outlineLevel="0" collapsed="false">
      <c r="A208" s="12"/>
      <c r="B208" s="18"/>
      <c r="C208" s="12"/>
      <c r="D208" s="11" t="str">
        <f aca="false">IF(C208="","",IFERROR(INDEX(Unidades!$B$2:$B$218,MATCH(C208,Unidades!$A$2:$A$218,0)),"Código não encontrado"))</f>
        <v/>
      </c>
      <c r="E208" s="11" t="str">
        <f aca="false">IF(C208="","",IFERROR(INDEX(Unidades!$C$2:$C$218,MATCH(C208,Unidades!$A$2:$A$218,0)),""))</f>
        <v/>
      </c>
      <c r="F208" s="12"/>
      <c r="G208" s="12"/>
      <c r="H208" s="12"/>
      <c r="I208" s="12"/>
      <c r="J208" s="12"/>
      <c r="K208" s="19"/>
      <c r="L208" s="12"/>
      <c r="M208" s="11" t="str">
        <f aca="false">IF(L208="","",IFERROR(INDEX(Prioridade_SLA!$B$2:$B$5,MATCH(L208,Prioridade_SLA!$A$2:$A$5,0)),""))</f>
        <v/>
      </c>
      <c r="N208" s="16" t="str">
        <f aca="false">IF(OR(B208="",M208=""),"",B208+M208/24)</f>
        <v/>
      </c>
      <c r="O208" s="12"/>
      <c r="P208" s="12"/>
      <c r="Q208" s="18"/>
      <c r="R208" s="17" t="str">
        <f aca="false">IF(OR(B208="",Q208=""),"",(Q208-B208)*24)</f>
        <v/>
      </c>
      <c r="S208" s="11" t="str">
        <f aca="false">IF(OR(N208="",Q208=""),"",IF(Q208&lt;=N208,"Sim","Não"))</f>
        <v/>
      </c>
      <c r="T208" s="19"/>
      <c r="U208" s="12"/>
      <c r="V208" s="12"/>
    </row>
    <row r="209" customFormat="false" ht="15" hidden="false" customHeight="false" outlineLevel="0" collapsed="false">
      <c r="A209" s="12"/>
      <c r="B209" s="18"/>
      <c r="C209" s="12"/>
      <c r="D209" s="11" t="str">
        <f aca="false">IF(C209="","",IFERROR(INDEX(Unidades!$B$2:$B$218,MATCH(C209,Unidades!$A$2:$A$218,0)),"Código não encontrado"))</f>
        <v/>
      </c>
      <c r="E209" s="11" t="str">
        <f aca="false">IF(C209="","",IFERROR(INDEX(Unidades!$C$2:$C$218,MATCH(C209,Unidades!$A$2:$A$218,0)),""))</f>
        <v/>
      </c>
      <c r="F209" s="12"/>
      <c r="G209" s="12"/>
      <c r="H209" s="12"/>
      <c r="I209" s="12"/>
      <c r="J209" s="12"/>
      <c r="K209" s="19"/>
      <c r="L209" s="12"/>
      <c r="M209" s="11" t="str">
        <f aca="false">IF(L209="","",IFERROR(INDEX(Prioridade_SLA!$B$2:$B$5,MATCH(L209,Prioridade_SLA!$A$2:$A$5,0)),""))</f>
        <v/>
      </c>
      <c r="N209" s="16" t="str">
        <f aca="false">IF(OR(B209="",M209=""),"",B209+M209/24)</f>
        <v/>
      </c>
      <c r="O209" s="12"/>
      <c r="P209" s="12"/>
      <c r="Q209" s="18"/>
      <c r="R209" s="17" t="str">
        <f aca="false">IF(OR(B209="",Q209=""),"",(Q209-B209)*24)</f>
        <v/>
      </c>
      <c r="S209" s="11" t="str">
        <f aca="false">IF(OR(N209="",Q209=""),"",IF(Q209&lt;=N209,"Sim","Não"))</f>
        <v/>
      </c>
      <c r="T209" s="19"/>
      <c r="U209" s="12"/>
      <c r="V209" s="12"/>
    </row>
    <row r="210" customFormat="false" ht="15" hidden="false" customHeight="false" outlineLevel="0" collapsed="false">
      <c r="A210" s="12"/>
      <c r="B210" s="18"/>
      <c r="C210" s="12"/>
      <c r="D210" s="11" t="str">
        <f aca="false">IF(C210="","",IFERROR(INDEX(Unidades!$B$2:$B$218,MATCH(C210,Unidades!$A$2:$A$218,0)),"Código não encontrado"))</f>
        <v/>
      </c>
      <c r="E210" s="11" t="str">
        <f aca="false">IF(C210="","",IFERROR(INDEX(Unidades!$C$2:$C$218,MATCH(C210,Unidades!$A$2:$A$218,0)),""))</f>
        <v/>
      </c>
      <c r="F210" s="12"/>
      <c r="G210" s="12"/>
      <c r="H210" s="12"/>
      <c r="I210" s="12"/>
      <c r="J210" s="12"/>
      <c r="K210" s="19"/>
      <c r="L210" s="12"/>
      <c r="M210" s="11" t="str">
        <f aca="false">IF(L210="","",IFERROR(INDEX(Prioridade_SLA!$B$2:$B$5,MATCH(L210,Prioridade_SLA!$A$2:$A$5,0)),""))</f>
        <v/>
      </c>
      <c r="N210" s="16" t="str">
        <f aca="false">IF(OR(B210="",M210=""),"",B210+M210/24)</f>
        <v/>
      </c>
      <c r="O210" s="12"/>
      <c r="P210" s="12"/>
      <c r="Q210" s="18"/>
      <c r="R210" s="17" t="str">
        <f aca="false">IF(OR(B210="",Q210=""),"",(Q210-B210)*24)</f>
        <v/>
      </c>
      <c r="S210" s="11" t="str">
        <f aca="false">IF(OR(N210="",Q210=""),"",IF(Q210&lt;=N210,"Sim","Não"))</f>
        <v/>
      </c>
      <c r="T210" s="19"/>
      <c r="U210" s="12"/>
      <c r="V210" s="12"/>
    </row>
    <row r="211" customFormat="false" ht="15" hidden="false" customHeight="false" outlineLevel="0" collapsed="false">
      <c r="A211" s="12"/>
      <c r="B211" s="18"/>
      <c r="C211" s="12"/>
      <c r="D211" s="11" t="str">
        <f aca="false">IF(C211="","",IFERROR(INDEX(Unidades!$B$2:$B$218,MATCH(C211,Unidades!$A$2:$A$218,0)),"Código não encontrado"))</f>
        <v/>
      </c>
      <c r="E211" s="11" t="str">
        <f aca="false">IF(C211="","",IFERROR(INDEX(Unidades!$C$2:$C$218,MATCH(C211,Unidades!$A$2:$A$218,0)),""))</f>
        <v/>
      </c>
      <c r="F211" s="12"/>
      <c r="G211" s="12"/>
      <c r="H211" s="12"/>
      <c r="I211" s="12"/>
      <c r="J211" s="12"/>
      <c r="K211" s="19"/>
      <c r="L211" s="12"/>
      <c r="M211" s="11" t="str">
        <f aca="false">IF(L211="","",IFERROR(INDEX(Prioridade_SLA!$B$2:$B$5,MATCH(L211,Prioridade_SLA!$A$2:$A$5,0)),""))</f>
        <v/>
      </c>
      <c r="N211" s="16" t="str">
        <f aca="false">IF(OR(B211="",M211=""),"",B211+M211/24)</f>
        <v/>
      </c>
      <c r="O211" s="12"/>
      <c r="P211" s="12"/>
      <c r="Q211" s="18"/>
      <c r="R211" s="17" t="str">
        <f aca="false">IF(OR(B211="",Q211=""),"",(Q211-B211)*24)</f>
        <v/>
      </c>
      <c r="S211" s="11" t="str">
        <f aca="false">IF(OR(N211="",Q211=""),"",IF(Q211&lt;=N211,"Sim","Não"))</f>
        <v/>
      </c>
      <c r="T211" s="19"/>
      <c r="U211" s="12"/>
      <c r="V211" s="12"/>
    </row>
    <row r="212" customFormat="false" ht="15" hidden="false" customHeight="false" outlineLevel="0" collapsed="false">
      <c r="A212" s="12"/>
      <c r="B212" s="18"/>
      <c r="C212" s="12"/>
      <c r="D212" s="11" t="str">
        <f aca="false">IF(C212="","",IFERROR(INDEX(Unidades!$B$2:$B$218,MATCH(C212,Unidades!$A$2:$A$218,0)),"Código não encontrado"))</f>
        <v/>
      </c>
      <c r="E212" s="11" t="str">
        <f aca="false">IF(C212="","",IFERROR(INDEX(Unidades!$C$2:$C$218,MATCH(C212,Unidades!$A$2:$A$218,0)),""))</f>
        <v/>
      </c>
      <c r="F212" s="12"/>
      <c r="G212" s="12"/>
      <c r="H212" s="12"/>
      <c r="I212" s="12"/>
      <c r="J212" s="12"/>
      <c r="K212" s="19"/>
      <c r="L212" s="12"/>
      <c r="M212" s="11" t="str">
        <f aca="false">IF(L212="","",IFERROR(INDEX(Prioridade_SLA!$B$2:$B$5,MATCH(L212,Prioridade_SLA!$A$2:$A$5,0)),""))</f>
        <v/>
      </c>
      <c r="N212" s="16" t="str">
        <f aca="false">IF(OR(B212="",M212=""),"",B212+M212/24)</f>
        <v/>
      </c>
      <c r="O212" s="12"/>
      <c r="P212" s="12"/>
      <c r="Q212" s="18"/>
      <c r="R212" s="17" t="str">
        <f aca="false">IF(OR(B212="",Q212=""),"",(Q212-B212)*24)</f>
        <v/>
      </c>
      <c r="S212" s="11" t="str">
        <f aca="false">IF(OR(N212="",Q212=""),"",IF(Q212&lt;=N212,"Sim","Não"))</f>
        <v/>
      </c>
      <c r="T212" s="19"/>
      <c r="U212" s="12"/>
      <c r="V212" s="12"/>
    </row>
    <row r="213" customFormat="false" ht="15" hidden="false" customHeight="false" outlineLevel="0" collapsed="false">
      <c r="A213" s="12"/>
      <c r="B213" s="18"/>
      <c r="C213" s="12"/>
      <c r="D213" s="11" t="str">
        <f aca="false">IF(C213="","",IFERROR(INDEX(Unidades!$B$2:$B$218,MATCH(C213,Unidades!$A$2:$A$218,0)),"Código não encontrado"))</f>
        <v/>
      </c>
      <c r="E213" s="11" t="str">
        <f aca="false">IF(C213="","",IFERROR(INDEX(Unidades!$C$2:$C$218,MATCH(C213,Unidades!$A$2:$A$218,0)),""))</f>
        <v/>
      </c>
      <c r="F213" s="12"/>
      <c r="G213" s="12"/>
      <c r="H213" s="12"/>
      <c r="I213" s="12"/>
      <c r="J213" s="12"/>
      <c r="K213" s="19"/>
      <c r="L213" s="12"/>
      <c r="M213" s="11" t="str">
        <f aca="false">IF(L213="","",IFERROR(INDEX(Prioridade_SLA!$B$2:$B$5,MATCH(L213,Prioridade_SLA!$A$2:$A$5,0)),""))</f>
        <v/>
      </c>
      <c r="N213" s="16" t="str">
        <f aca="false">IF(OR(B213="",M213=""),"",B213+M213/24)</f>
        <v/>
      </c>
      <c r="O213" s="12"/>
      <c r="P213" s="12"/>
      <c r="Q213" s="18"/>
      <c r="R213" s="17" t="str">
        <f aca="false">IF(OR(B213="",Q213=""),"",(Q213-B213)*24)</f>
        <v/>
      </c>
      <c r="S213" s="11" t="str">
        <f aca="false">IF(OR(N213="",Q213=""),"",IF(Q213&lt;=N213,"Sim","Não"))</f>
        <v/>
      </c>
      <c r="T213" s="19"/>
      <c r="U213" s="12"/>
      <c r="V213" s="12"/>
    </row>
    <row r="214" customFormat="false" ht="15" hidden="false" customHeight="false" outlineLevel="0" collapsed="false">
      <c r="A214" s="12"/>
      <c r="B214" s="18"/>
      <c r="C214" s="12"/>
      <c r="D214" s="11" t="str">
        <f aca="false">IF(C214="","",IFERROR(INDEX(Unidades!$B$2:$B$218,MATCH(C214,Unidades!$A$2:$A$218,0)),"Código não encontrado"))</f>
        <v/>
      </c>
      <c r="E214" s="11" t="str">
        <f aca="false">IF(C214="","",IFERROR(INDEX(Unidades!$C$2:$C$218,MATCH(C214,Unidades!$A$2:$A$218,0)),""))</f>
        <v/>
      </c>
      <c r="F214" s="12"/>
      <c r="G214" s="12"/>
      <c r="H214" s="12"/>
      <c r="I214" s="12"/>
      <c r="J214" s="12"/>
      <c r="K214" s="19"/>
      <c r="L214" s="12"/>
      <c r="M214" s="11" t="str">
        <f aca="false">IF(L214="","",IFERROR(INDEX(Prioridade_SLA!$B$2:$B$5,MATCH(L214,Prioridade_SLA!$A$2:$A$5,0)),""))</f>
        <v/>
      </c>
      <c r="N214" s="16" t="str">
        <f aca="false">IF(OR(B214="",M214=""),"",B214+M214/24)</f>
        <v/>
      </c>
      <c r="O214" s="12"/>
      <c r="P214" s="12"/>
      <c r="Q214" s="18"/>
      <c r="R214" s="17" t="str">
        <f aca="false">IF(OR(B214="",Q214=""),"",(Q214-B214)*24)</f>
        <v/>
      </c>
      <c r="S214" s="11" t="str">
        <f aca="false">IF(OR(N214="",Q214=""),"",IF(Q214&lt;=N214,"Sim","Não"))</f>
        <v/>
      </c>
      <c r="T214" s="19"/>
      <c r="U214" s="12"/>
      <c r="V214" s="12"/>
    </row>
    <row r="215" customFormat="false" ht="15" hidden="false" customHeight="false" outlineLevel="0" collapsed="false">
      <c r="A215" s="12"/>
      <c r="B215" s="18"/>
      <c r="C215" s="12"/>
      <c r="D215" s="11" t="str">
        <f aca="false">IF(C215="","",IFERROR(INDEX(Unidades!$B$2:$B$218,MATCH(C215,Unidades!$A$2:$A$218,0)),"Código não encontrado"))</f>
        <v/>
      </c>
      <c r="E215" s="11" t="str">
        <f aca="false">IF(C215="","",IFERROR(INDEX(Unidades!$C$2:$C$218,MATCH(C215,Unidades!$A$2:$A$218,0)),""))</f>
        <v/>
      </c>
      <c r="F215" s="12"/>
      <c r="G215" s="12"/>
      <c r="H215" s="12"/>
      <c r="I215" s="12"/>
      <c r="J215" s="12"/>
      <c r="K215" s="19"/>
      <c r="L215" s="12"/>
      <c r="M215" s="11" t="str">
        <f aca="false">IF(L215="","",IFERROR(INDEX(Prioridade_SLA!$B$2:$B$5,MATCH(L215,Prioridade_SLA!$A$2:$A$5,0)),""))</f>
        <v/>
      </c>
      <c r="N215" s="16" t="str">
        <f aca="false">IF(OR(B215="",M215=""),"",B215+M215/24)</f>
        <v/>
      </c>
      <c r="O215" s="12"/>
      <c r="P215" s="12"/>
      <c r="Q215" s="18"/>
      <c r="R215" s="17" t="str">
        <f aca="false">IF(OR(B215="",Q215=""),"",(Q215-B215)*24)</f>
        <v/>
      </c>
      <c r="S215" s="11" t="str">
        <f aca="false">IF(OR(N215="",Q215=""),"",IF(Q215&lt;=N215,"Sim","Não"))</f>
        <v/>
      </c>
      <c r="T215" s="19"/>
      <c r="U215" s="12"/>
      <c r="V215" s="12"/>
    </row>
    <row r="216" customFormat="false" ht="15" hidden="false" customHeight="false" outlineLevel="0" collapsed="false">
      <c r="A216" s="12"/>
      <c r="B216" s="18"/>
      <c r="C216" s="12"/>
      <c r="D216" s="11" t="str">
        <f aca="false">IF(C216="","",IFERROR(INDEX(Unidades!$B$2:$B$218,MATCH(C216,Unidades!$A$2:$A$218,0)),"Código não encontrado"))</f>
        <v/>
      </c>
      <c r="E216" s="11" t="str">
        <f aca="false">IF(C216="","",IFERROR(INDEX(Unidades!$C$2:$C$218,MATCH(C216,Unidades!$A$2:$A$218,0)),""))</f>
        <v/>
      </c>
      <c r="F216" s="12"/>
      <c r="G216" s="12"/>
      <c r="H216" s="12"/>
      <c r="I216" s="12"/>
      <c r="J216" s="12"/>
      <c r="K216" s="19"/>
      <c r="L216" s="12"/>
      <c r="M216" s="11" t="str">
        <f aca="false">IF(L216="","",IFERROR(INDEX(Prioridade_SLA!$B$2:$B$5,MATCH(L216,Prioridade_SLA!$A$2:$A$5,0)),""))</f>
        <v/>
      </c>
      <c r="N216" s="16" t="str">
        <f aca="false">IF(OR(B216="",M216=""),"",B216+M216/24)</f>
        <v/>
      </c>
      <c r="O216" s="12"/>
      <c r="P216" s="12"/>
      <c r="Q216" s="18"/>
      <c r="R216" s="17" t="str">
        <f aca="false">IF(OR(B216="",Q216=""),"",(Q216-B216)*24)</f>
        <v/>
      </c>
      <c r="S216" s="11" t="str">
        <f aca="false">IF(OR(N216="",Q216=""),"",IF(Q216&lt;=N216,"Sim","Não"))</f>
        <v/>
      </c>
      <c r="T216" s="19"/>
      <c r="U216" s="12"/>
      <c r="V216" s="12"/>
    </row>
    <row r="217" customFormat="false" ht="15" hidden="false" customHeight="false" outlineLevel="0" collapsed="false">
      <c r="A217" s="12"/>
      <c r="B217" s="18"/>
      <c r="C217" s="12"/>
      <c r="D217" s="11" t="str">
        <f aca="false">IF(C217="","",IFERROR(INDEX(Unidades!$B$2:$B$218,MATCH(C217,Unidades!$A$2:$A$218,0)),"Código não encontrado"))</f>
        <v/>
      </c>
      <c r="E217" s="11" t="str">
        <f aca="false">IF(C217="","",IFERROR(INDEX(Unidades!$C$2:$C$218,MATCH(C217,Unidades!$A$2:$A$218,0)),""))</f>
        <v/>
      </c>
      <c r="F217" s="12"/>
      <c r="G217" s="12"/>
      <c r="H217" s="12"/>
      <c r="I217" s="12"/>
      <c r="J217" s="12"/>
      <c r="K217" s="19"/>
      <c r="L217" s="12"/>
      <c r="M217" s="11" t="str">
        <f aca="false">IF(L217="","",IFERROR(INDEX(Prioridade_SLA!$B$2:$B$5,MATCH(L217,Prioridade_SLA!$A$2:$A$5,0)),""))</f>
        <v/>
      </c>
      <c r="N217" s="16" t="str">
        <f aca="false">IF(OR(B217="",M217=""),"",B217+M217/24)</f>
        <v/>
      </c>
      <c r="O217" s="12"/>
      <c r="P217" s="12"/>
      <c r="Q217" s="18"/>
      <c r="R217" s="17" t="str">
        <f aca="false">IF(OR(B217="",Q217=""),"",(Q217-B217)*24)</f>
        <v/>
      </c>
      <c r="S217" s="11" t="str">
        <f aca="false">IF(OR(N217="",Q217=""),"",IF(Q217&lt;=N217,"Sim","Não"))</f>
        <v/>
      </c>
      <c r="T217" s="19"/>
      <c r="U217" s="12"/>
      <c r="V217" s="12"/>
    </row>
    <row r="218" customFormat="false" ht="15" hidden="false" customHeight="false" outlineLevel="0" collapsed="false">
      <c r="A218" s="12"/>
      <c r="B218" s="18"/>
      <c r="C218" s="12"/>
      <c r="D218" s="11" t="str">
        <f aca="false">IF(C218="","",IFERROR(INDEX(Unidades!$B$2:$B$218,MATCH(C218,Unidades!$A$2:$A$218,0)),"Código não encontrado"))</f>
        <v/>
      </c>
      <c r="E218" s="11" t="str">
        <f aca="false">IF(C218="","",IFERROR(INDEX(Unidades!$C$2:$C$218,MATCH(C218,Unidades!$A$2:$A$218,0)),""))</f>
        <v/>
      </c>
      <c r="F218" s="12"/>
      <c r="G218" s="12"/>
      <c r="H218" s="12"/>
      <c r="I218" s="12"/>
      <c r="J218" s="12"/>
      <c r="K218" s="19"/>
      <c r="L218" s="12"/>
      <c r="M218" s="11" t="str">
        <f aca="false">IF(L218="","",IFERROR(INDEX(Prioridade_SLA!$B$2:$B$5,MATCH(L218,Prioridade_SLA!$A$2:$A$5,0)),""))</f>
        <v/>
      </c>
      <c r="N218" s="16" t="str">
        <f aca="false">IF(OR(B218="",M218=""),"",B218+M218/24)</f>
        <v/>
      </c>
      <c r="O218" s="12"/>
      <c r="P218" s="12"/>
      <c r="Q218" s="18"/>
      <c r="R218" s="17" t="str">
        <f aca="false">IF(OR(B218="",Q218=""),"",(Q218-B218)*24)</f>
        <v/>
      </c>
      <c r="S218" s="11" t="str">
        <f aca="false">IF(OR(N218="",Q218=""),"",IF(Q218&lt;=N218,"Sim","Não"))</f>
        <v/>
      </c>
      <c r="T218" s="19"/>
      <c r="U218" s="12"/>
      <c r="V218" s="12"/>
    </row>
    <row r="219" customFormat="false" ht="15" hidden="false" customHeight="false" outlineLevel="0" collapsed="false">
      <c r="A219" s="12"/>
      <c r="B219" s="18"/>
      <c r="C219" s="12"/>
      <c r="D219" s="11" t="str">
        <f aca="false">IF(C219="","",IFERROR(INDEX(Unidades!$B$2:$B$218,MATCH(C219,Unidades!$A$2:$A$218,0)),"Código não encontrado"))</f>
        <v/>
      </c>
      <c r="E219" s="11" t="str">
        <f aca="false">IF(C219="","",IFERROR(INDEX(Unidades!$C$2:$C$218,MATCH(C219,Unidades!$A$2:$A$218,0)),""))</f>
        <v/>
      </c>
      <c r="F219" s="12"/>
      <c r="G219" s="12"/>
      <c r="H219" s="12"/>
      <c r="I219" s="12"/>
      <c r="J219" s="12"/>
      <c r="K219" s="19"/>
      <c r="L219" s="12"/>
      <c r="M219" s="11" t="str">
        <f aca="false">IF(L219="","",IFERROR(INDEX(Prioridade_SLA!$B$2:$B$5,MATCH(L219,Prioridade_SLA!$A$2:$A$5,0)),""))</f>
        <v/>
      </c>
      <c r="N219" s="16" t="str">
        <f aca="false">IF(OR(B219="",M219=""),"",B219+M219/24)</f>
        <v/>
      </c>
      <c r="O219" s="12"/>
      <c r="P219" s="12"/>
      <c r="Q219" s="18"/>
      <c r="R219" s="17" t="str">
        <f aca="false">IF(OR(B219="",Q219=""),"",(Q219-B219)*24)</f>
        <v/>
      </c>
      <c r="S219" s="11" t="str">
        <f aca="false">IF(OR(N219="",Q219=""),"",IF(Q219&lt;=N219,"Sim","Não"))</f>
        <v/>
      </c>
      <c r="T219" s="19"/>
      <c r="U219" s="12"/>
      <c r="V219" s="12"/>
    </row>
    <row r="220" customFormat="false" ht="15" hidden="false" customHeight="false" outlineLevel="0" collapsed="false">
      <c r="A220" s="12"/>
      <c r="B220" s="18"/>
      <c r="C220" s="12"/>
      <c r="D220" s="11" t="str">
        <f aca="false">IF(C220="","",IFERROR(INDEX(Unidades!$B$2:$B$218,MATCH(C220,Unidades!$A$2:$A$218,0)),"Código não encontrado"))</f>
        <v/>
      </c>
      <c r="E220" s="11" t="str">
        <f aca="false">IF(C220="","",IFERROR(INDEX(Unidades!$C$2:$C$218,MATCH(C220,Unidades!$A$2:$A$218,0)),""))</f>
        <v/>
      </c>
      <c r="F220" s="12"/>
      <c r="G220" s="12"/>
      <c r="H220" s="12"/>
      <c r="I220" s="12"/>
      <c r="J220" s="12"/>
      <c r="K220" s="19"/>
      <c r="L220" s="12"/>
      <c r="M220" s="11" t="str">
        <f aca="false">IF(L220="","",IFERROR(INDEX(Prioridade_SLA!$B$2:$B$5,MATCH(L220,Prioridade_SLA!$A$2:$A$5,0)),""))</f>
        <v/>
      </c>
      <c r="N220" s="16" t="str">
        <f aca="false">IF(OR(B220="",M220=""),"",B220+M220/24)</f>
        <v/>
      </c>
      <c r="O220" s="12"/>
      <c r="P220" s="12"/>
      <c r="Q220" s="18"/>
      <c r="R220" s="17" t="str">
        <f aca="false">IF(OR(B220="",Q220=""),"",(Q220-B220)*24)</f>
        <v/>
      </c>
      <c r="S220" s="11" t="str">
        <f aca="false">IF(OR(N220="",Q220=""),"",IF(Q220&lt;=N220,"Sim","Não"))</f>
        <v/>
      </c>
      <c r="T220" s="19"/>
      <c r="U220" s="12"/>
      <c r="V220" s="12"/>
    </row>
    <row r="221" customFormat="false" ht="15" hidden="false" customHeight="false" outlineLevel="0" collapsed="false">
      <c r="A221" s="12"/>
      <c r="B221" s="18"/>
      <c r="C221" s="12"/>
      <c r="D221" s="11" t="str">
        <f aca="false">IF(C221="","",IFERROR(INDEX(Unidades!$B$2:$B$218,MATCH(C221,Unidades!$A$2:$A$218,0)),"Código não encontrado"))</f>
        <v/>
      </c>
      <c r="E221" s="11" t="str">
        <f aca="false">IF(C221="","",IFERROR(INDEX(Unidades!$C$2:$C$218,MATCH(C221,Unidades!$A$2:$A$218,0)),""))</f>
        <v/>
      </c>
      <c r="F221" s="12"/>
      <c r="G221" s="12"/>
      <c r="H221" s="12"/>
      <c r="I221" s="12"/>
      <c r="J221" s="12"/>
      <c r="K221" s="19"/>
      <c r="L221" s="12"/>
      <c r="M221" s="11" t="str">
        <f aca="false">IF(L221="","",IFERROR(INDEX(Prioridade_SLA!$B$2:$B$5,MATCH(L221,Prioridade_SLA!$A$2:$A$5,0)),""))</f>
        <v/>
      </c>
      <c r="N221" s="16" t="str">
        <f aca="false">IF(OR(B221="",M221=""),"",B221+M221/24)</f>
        <v/>
      </c>
      <c r="O221" s="12"/>
      <c r="P221" s="12"/>
      <c r="Q221" s="18"/>
      <c r="R221" s="17" t="str">
        <f aca="false">IF(OR(B221="",Q221=""),"",(Q221-B221)*24)</f>
        <v/>
      </c>
      <c r="S221" s="11" t="str">
        <f aca="false">IF(OR(N221="",Q221=""),"",IF(Q221&lt;=N221,"Sim","Não"))</f>
        <v/>
      </c>
      <c r="T221" s="19"/>
      <c r="U221" s="12"/>
      <c r="V221" s="12"/>
    </row>
    <row r="222" customFormat="false" ht="15" hidden="false" customHeight="false" outlineLevel="0" collapsed="false">
      <c r="A222" s="12"/>
      <c r="B222" s="18"/>
      <c r="C222" s="12"/>
      <c r="D222" s="11" t="str">
        <f aca="false">IF(C222="","",IFERROR(INDEX(Unidades!$B$2:$B$218,MATCH(C222,Unidades!$A$2:$A$218,0)),"Código não encontrado"))</f>
        <v/>
      </c>
      <c r="E222" s="11" t="str">
        <f aca="false">IF(C222="","",IFERROR(INDEX(Unidades!$C$2:$C$218,MATCH(C222,Unidades!$A$2:$A$218,0)),""))</f>
        <v/>
      </c>
      <c r="F222" s="12"/>
      <c r="G222" s="12"/>
      <c r="H222" s="12"/>
      <c r="I222" s="12"/>
      <c r="J222" s="12"/>
      <c r="K222" s="19"/>
      <c r="L222" s="12"/>
      <c r="M222" s="11" t="str">
        <f aca="false">IF(L222="","",IFERROR(INDEX(Prioridade_SLA!$B$2:$B$5,MATCH(L222,Prioridade_SLA!$A$2:$A$5,0)),""))</f>
        <v/>
      </c>
      <c r="N222" s="16" t="str">
        <f aca="false">IF(OR(B222="",M222=""),"",B222+M222/24)</f>
        <v/>
      </c>
      <c r="O222" s="12"/>
      <c r="P222" s="12"/>
      <c r="Q222" s="18"/>
      <c r="R222" s="17" t="str">
        <f aca="false">IF(OR(B222="",Q222=""),"",(Q222-B222)*24)</f>
        <v/>
      </c>
      <c r="S222" s="11" t="str">
        <f aca="false">IF(OR(N222="",Q222=""),"",IF(Q222&lt;=N222,"Sim","Não"))</f>
        <v/>
      </c>
      <c r="T222" s="19"/>
      <c r="U222" s="12"/>
      <c r="V222" s="12"/>
    </row>
    <row r="223" customFormat="false" ht="15" hidden="false" customHeight="false" outlineLevel="0" collapsed="false">
      <c r="A223" s="12"/>
      <c r="B223" s="18"/>
      <c r="C223" s="12"/>
      <c r="D223" s="11" t="str">
        <f aca="false">IF(C223="","",IFERROR(INDEX(Unidades!$B$2:$B$218,MATCH(C223,Unidades!$A$2:$A$218,0)),"Código não encontrado"))</f>
        <v/>
      </c>
      <c r="E223" s="11" t="str">
        <f aca="false">IF(C223="","",IFERROR(INDEX(Unidades!$C$2:$C$218,MATCH(C223,Unidades!$A$2:$A$218,0)),""))</f>
        <v/>
      </c>
      <c r="F223" s="12"/>
      <c r="G223" s="12"/>
      <c r="H223" s="12"/>
      <c r="I223" s="12"/>
      <c r="J223" s="12"/>
      <c r="K223" s="19"/>
      <c r="L223" s="12"/>
      <c r="M223" s="11" t="str">
        <f aca="false">IF(L223="","",IFERROR(INDEX(Prioridade_SLA!$B$2:$B$5,MATCH(L223,Prioridade_SLA!$A$2:$A$5,0)),""))</f>
        <v/>
      </c>
      <c r="N223" s="16" t="str">
        <f aca="false">IF(OR(B223="",M223=""),"",B223+M223/24)</f>
        <v/>
      </c>
      <c r="O223" s="12"/>
      <c r="P223" s="12"/>
      <c r="Q223" s="18"/>
      <c r="R223" s="17" t="str">
        <f aca="false">IF(OR(B223="",Q223=""),"",(Q223-B223)*24)</f>
        <v/>
      </c>
      <c r="S223" s="11" t="str">
        <f aca="false">IF(OR(N223="",Q223=""),"",IF(Q223&lt;=N223,"Sim","Não"))</f>
        <v/>
      </c>
      <c r="T223" s="19"/>
      <c r="U223" s="12"/>
      <c r="V223" s="12"/>
    </row>
    <row r="224" customFormat="false" ht="15" hidden="false" customHeight="false" outlineLevel="0" collapsed="false">
      <c r="A224" s="12"/>
      <c r="B224" s="18"/>
      <c r="C224" s="12"/>
      <c r="D224" s="11" t="str">
        <f aca="false">IF(C224="","",IFERROR(INDEX(Unidades!$B$2:$B$218,MATCH(C224,Unidades!$A$2:$A$218,0)),"Código não encontrado"))</f>
        <v/>
      </c>
      <c r="E224" s="11" t="str">
        <f aca="false">IF(C224="","",IFERROR(INDEX(Unidades!$C$2:$C$218,MATCH(C224,Unidades!$A$2:$A$218,0)),""))</f>
        <v/>
      </c>
      <c r="F224" s="12"/>
      <c r="G224" s="12"/>
      <c r="H224" s="12"/>
      <c r="I224" s="12"/>
      <c r="J224" s="12"/>
      <c r="K224" s="19"/>
      <c r="L224" s="12"/>
      <c r="M224" s="11" t="str">
        <f aca="false">IF(L224="","",IFERROR(INDEX(Prioridade_SLA!$B$2:$B$5,MATCH(L224,Prioridade_SLA!$A$2:$A$5,0)),""))</f>
        <v/>
      </c>
      <c r="N224" s="16" t="str">
        <f aca="false">IF(OR(B224="",M224=""),"",B224+M224/24)</f>
        <v/>
      </c>
      <c r="O224" s="12"/>
      <c r="P224" s="12"/>
      <c r="Q224" s="18"/>
      <c r="R224" s="17" t="str">
        <f aca="false">IF(OR(B224="",Q224=""),"",(Q224-B224)*24)</f>
        <v/>
      </c>
      <c r="S224" s="11" t="str">
        <f aca="false">IF(OR(N224="",Q224=""),"",IF(Q224&lt;=N224,"Sim","Não"))</f>
        <v/>
      </c>
      <c r="T224" s="19"/>
      <c r="U224" s="12"/>
      <c r="V224" s="12"/>
    </row>
    <row r="225" customFormat="false" ht="15" hidden="false" customHeight="false" outlineLevel="0" collapsed="false">
      <c r="A225" s="12"/>
      <c r="B225" s="18"/>
      <c r="C225" s="12"/>
      <c r="D225" s="11" t="str">
        <f aca="false">IF(C225="","",IFERROR(INDEX(Unidades!$B$2:$B$218,MATCH(C225,Unidades!$A$2:$A$218,0)),"Código não encontrado"))</f>
        <v/>
      </c>
      <c r="E225" s="11" t="str">
        <f aca="false">IF(C225="","",IFERROR(INDEX(Unidades!$C$2:$C$218,MATCH(C225,Unidades!$A$2:$A$218,0)),""))</f>
        <v/>
      </c>
      <c r="F225" s="12"/>
      <c r="G225" s="12"/>
      <c r="H225" s="12"/>
      <c r="I225" s="12"/>
      <c r="J225" s="12"/>
      <c r="K225" s="19"/>
      <c r="L225" s="12"/>
      <c r="M225" s="11" t="str">
        <f aca="false">IF(L225="","",IFERROR(INDEX(Prioridade_SLA!$B$2:$B$5,MATCH(L225,Prioridade_SLA!$A$2:$A$5,0)),""))</f>
        <v/>
      </c>
      <c r="N225" s="16" t="str">
        <f aca="false">IF(OR(B225="",M225=""),"",B225+M225/24)</f>
        <v/>
      </c>
      <c r="O225" s="12"/>
      <c r="P225" s="12"/>
      <c r="Q225" s="18"/>
      <c r="R225" s="17" t="str">
        <f aca="false">IF(OR(B225="",Q225=""),"",(Q225-B225)*24)</f>
        <v/>
      </c>
      <c r="S225" s="11" t="str">
        <f aca="false">IF(OR(N225="",Q225=""),"",IF(Q225&lt;=N225,"Sim","Não"))</f>
        <v/>
      </c>
      <c r="T225" s="19"/>
      <c r="U225" s="12"/>
      <c r="V225" s="12"/>
    </row>
    <row r="226" customFormat="false" ht="15" hidden="false" customHeight="false" outlineLevel="0" collapsed="false">
      <c r="A226" s="12"/>
      <c r="B226" s="18"/>
      <c r="C226" s="12"/>
      <c r="D226" s="11" t="str">
        <f aca="false">IF(C226="","",IFERROR(INDEX(Unidades!$B$2:$B$218,MATCH(C226,Unidades!$A$2:$A$218,0)),"Código não encontrado"))</f>
        <v/>
      </c>
      <c r="E226" s="11" t="str">
        <f aca="false">IF(C226="","",IFERROR(INDEX(Unidades!$C$2:$C$218,MATCH(C226,Unidades!$A$2:$A$218,0)),""))</f>
        <v/>
      </c>
      <c r="F226" s="12"/>
      <c r="G226" s="12"/>
      <c r="H226" s="12"/>
      <c r="I226" s="12"/>
      <c r="J226" s="12"/>
      <c r="K226" s="19"/>
      <c r="L226" s="12"/>
      <c r="M226" s="11" t="str">
        <f aca="false">IF(L226="","",IFERROR(INDEX(Prioridade_SLA!$B$2:$B$5,MATCH(L226,Prioridade_SLA!$A$2:$A$5,0)),""))</f>
        <v/>
      </c>
      <c r="N226" s="16" t="str">
        <f aca="false">IF(OR(B226="",M226=""),"",B226+M226/24)</f>
        <v/>
      </c>
      <c r="O226" s="12"/>
      <c r="P226" s="12"/>
      <c r="Q226" s="18"/>
      <c r="R226" s="17" t="str">
        <f aca="false">IF(OR(B226="",Q226=""),"",(Q226-B226)*24)</f>
        <v/>
      </c>
      <c r="S226" s="11" t="str">
        <f aca="false">IF(OR(N226="",Q226=""),"",IF(Q226&lt;=N226,"Sim","Não"))</f>
        <v/>
      </c>
      <c r="T226" s="19"/>
      <c r="U226" s="12"/>
      <c r="V226" s="12"/>
    </row>
    <row r="227" customFormat="false" ht="15" hidden="false" customHeight="false" outlineLevel="0" collapsed="false">
      <c r="A227" s="12"/>
      <c r="B227" s="18"/>
      <c r="C227" s="12"/>
      <c r="D227" s="11" t="str">
        <f aca="false">IF(C227="","",IFERROR(INDEX(Unidades!$B$2:$B$218,MATCH(C227,Unidades!$A$2:$A$218,0)),"Código não encontrado"))</f>
        <v/>
      </c>
      <c r="E227" s="11" t="str">
        <f aca="false">IF(C227="","",IFERROR(INDEX(Unidades!$C$2:$C$218,MATCH(C227,Unidades!$A$2:$A$218,0)),""))</f>
        <v/>
      </c>
      <c r="F227" s="12"/>
      <c r="G227" s="12"/>
      <c r="H227" s="12"/>
      <c r="I227" s="12"/>
      <c r="J227" s="12"/>
      <c r="K227" s="19"/>
      <c r="L227" s="12"/>
      <c r="M227" s="11" t="str">
        <f aca="false">IF(L227="","",IFERROR(INDEX(Prioridade_SLA!$B$2:$B$5,MATCH(L227,Prioridade_SLA!$A$2:$A$5,0)),""))</f>
        <v/>
      </c>
      <c r="N227" s="16" t="str">
        <f aca="false">IF(OR(B227="",M227=""),"",B227+M227/24)</f>
        <v/>
      </c>
      <c r="O227" s="12"/>
      <c r="P227" s="12"/>
      <c r="Q227" s="18"/>
      <c r="R227" s="17" t="str">
        <f aca="false">IF(OR(B227="",Q227=""),"",(Q227-B227)*24)</f>
        <v/>
      </c>
      <c r="S227" s="11" t="str">
        <f aca="false">IF(OR(N227="",Q227=""),"",IF(Q227&lt;=N227,"Sim","Não"))</f>
        <v/>
      </c>
      <c r="T227" s="19"/>
      <c r="U227" s="12"/>
      <c r="V227" s="12"/>
    </row>
    <row r="228" customFormat="false" ht="15" hidden="false" customHeight="false" outlineLevel="0" collapsed="false">
      <c r="A228" s="12"/>
      <c r="B228" s="18"/>
      <c r="C228" s="12"/>
      <c r="D228" s="11" t="str">
        <f aca="false">IF(C228="","",IFERROR(INDEX(Unidades!$B$2:$B$218,MATCH(C228,Unidades!$A$2:$A$218,0)),"Código não encontrado"))</f>
        <v/>
      </c>
      <c r="E228" s="11" t="str">
        <f aca="false">IF(C228="","",IFERROR(INDEX(Unidades!$C$2:$C$218,MATCH(C228,Unidades!$A$2:$A$218,0)),""))</f>
        <v/>
      </c>
      <c r="F228" s="12"/>
      <c r="G228" s="12"/>
      <c r="H228" s="12"/>
      <c r="I228" s="12"/>
      <c r="J228" s="12"/>
      <c r="K228" s="19"/>
      <c r="L228" s="12"/>
      <c r="M228" s="11" t="str">
        <f aca="false">IF(L228="","",IFERROR(INDEX(Prioridade_SLA!$B$2:$B$5,MATCH(L228,Prioridade_SLA!$A$2:$A$5,0)),""))</f>
        <v/>
      </c>
      <c r="N228" s="16" t="str">
        <f aca="false">IF(OR(B228="",M228=""),"",B228+M228/24)</f>
        <v/>
      </c>
      <c r="O228" s="12"/>
      <c r="P228" s="12"/>
      <c r="Q228" s="18"/>
      <c r="R228" s="17" t="str">
        <f aca="false">IF(OR(B228="",Q228=""),"",(Q228-B228)*24)</f>
        <v/>
      </c>
      <c r="S228" s="11" t="str">
        <f aca="false">IF(OR(N228="",Q228=""),"",IF(Q228&lt;=N228,"Sim","Não"))</f>
        <v/>
      </c>
      <c r="T228" s="19"/>
      <c r="U228" s="12"/>
      <c r="V228" s="12"/>
    </row>
    <row r="229" customFormat="false" ht="15" hidden="false" customHeight="false" outlineLevel="0" collapsed="false">
      <c r="A229" s="12"/>
      <c r="B229" s="18"/>
      <c r="C229" s="12"/>
      <c r="D229" s="11" t="str">
        <f aca="false">IF(C229="","",IFERROR(INDEX(Unidades!$B$2:$B$218,MATCH(C229,Unidades!$A$2:$A$218,0)),"Código não encontrado"))</f>
        <v/>
      </c>
      <c r="E229" s="11" t="str">
        <f aca="false">IF(C229="","",IFERROR(INDEX(Unidades!$C$2:$C$218,MATCH(C229,Unidades!$A$2:$A$218,0)),""))</f>
        <v/>
      </c>
      <c r="F229" s="12"/>
      <c r="G229" s="12"/>
      <c r="H229" s="12"/>
      <c r="I229" s="12"/>
      <c r="J229" s="12"/>
      <c r="K229" s="19"/>
      <c r="L229" s="12"/>
      <c r="M229" s="11" t="str">
        <f aca="false">IF(L229="","",IFERROR(INDEX(Prioridade_SLA!$B$2:$B$5,MATCH(L229,Prioridade_SLA!$A$2:$A$5,0)),""))</f>
        <v/>
      </c>
      <c r="N229" s="16" t="str">
        <f aca="false">IF(OR(B229="",M229=""),"",B229+M229/24)</f>
        <v/>
      </c>
      <c r="O229" s="12"/>
      <c r="P229" s="12"/>
      <c r="Q229" s="18"/>
      <c r="R229" s="17" t="str">
        <f aca="false">IF(OR(B229="",Q229=""),"",(Q229-B229)*24)</f>
        <v/>
      </c>
      <c r="S229" s="11" t="str">
        <f aca="false">IF(OR(N229="",Q229=""),"",IF(Q229&lt;=N229,"Sim","Não"))</f>
        <v/>
      </c>
      <c r="T229" s="19"/>
      <c r="U229" s="12"/>
      <c r="V229" s="12"/>
    </row>
    <row r="230" customFormat="false" ht="15" hidden="false" customHeight="false" outlineLevel="0" collapsed="false">
      <c r="A230" s="12"/>
      <c r="B230" s="18"/>
      <c r="C230" s="12"/>
      <c r="D230" s="11" t="str">
        <f aca="false">IF(C230="","",IFERROR(INDEX(Unidades!$B$2:$B$218,MATCH(C230,Unidades!$A$2:$A$218,0)),"Código não encontrado"))</f>
        <v/>
      </c>
      <c r="E230" s="11" t="str">
        <f aca="false">IF(C230="","",IFERROR(INDEX(Unidades!$C$2:$C$218,MATCH(C230,Unidades!$A$2:$A$218,0)),""))</f>
        <v/>
      </c>
      <c r="F230" s="12"/>
      <c r="G230" s="12"/>
      <c r="H230" s="12"/>
      <c r="I230" s="12"/>
      <c r="J230" s="12"/>
      <c r="K230" s="19"/>
      <c r="L230" s="12"/>
      <c r="M230" s="11" t="str">
        <f aca="false">IF(L230="","",IFERROR(INDEX(Prioridade_SLA!$B$2:$B$5,MATCH(L230,Prioridade_SLA!$A$2:$A$5,0)),""))</f>
        <v/>
      </c>
      <c r="N230" s="16" t="str">
        <f aca="false">IF(OR(B230="",M230=""),"",B230+M230/24)</f>
        <v/>
      </c>
      <c r="O230" s="12"/>
      <c r="P230" s="12"/>
      <c r="Q230" s="18"/>
      <c r="R230" s="17" t="str">
        <f aca="false">IF(OR(B230="",Q230=""),"",(Q230-B230)*24)</f>
        <v/>
      </c>
      <c r="S230" s="11" t="str">
        <f aca="false">IF(OR(N230="",Q230=""),"",IF(Q230&lt;=N230,"Sim","Não"))</f>
        <v/>
      </c>
      <c r="T230" s="19"/>
      <c r="U230" s="12"/>
      <c r="V230" s="12"/>
    </row>
    <row r="231" customFormat="false" ht="15" hidden="false" customHeight="false" outlineLevel="0" collapsed="false">
      <c r="A231" s="12"/>
      <c r="B231" s="18"/>
      <c r="C231" s="12"/>
      <c r="D231" s="11" t="str">
        <f aca="false">IF(C231="","",IFERROR(INDEX(Unidades!$B$2:$B$218,MATCH(C231,Unidades!$A$2:$A$218,0)),"Código não encontrado"))</f>
        <v/>
      </c>
      <c r="E231" s="11" t="str">
        <f aca="false">IF(C231="","",IFERROR(INDEX(Unidades!$C$2:$C$218,MATCH(C231,Unidades!$A$2:$A$218,0)),""))</f>
        <v/>
      </c>
      <c r="F231" s="12"/>
      <c r="G231" s="12"/>
      <c r="H231" s="12"/>
      <c r="I231" s="12"/>
      <c r="J231" s="12"/>
      <c r="K231" s="19"/>
      <c r="L231" s="12"/>
      <c r="M231" s="11" t="str">
        <f aca="false">IF(L231="","",IFERROR(INDEX(Prioridade_SLA!$B$2:$B$5,MATCH(L231,Prioridade_SLA!$A$2:$A$5,0)),""))</f>
        <v/>
      </c>
      <c r="N231" s="16" t="str">
        <f aca="false">IF(OR(B231="",M231=""),"",B231+M231/24)</f>
        <v/>
      </c>
      <c r="O231" s="12"/>
      <c r="P231" s="12"/>
      <c r="Q231" s="18"/>
      <c r="R231" s="17" t="str">
        <f aca="false">IF(OR(B231="",Q231=""),"",(Q231-B231)*24)</f>
        <v/>
      </c>
      <c r="S231" s="11" t="str">
        <f aca="false">IF(OR(N231="",Q231=""),"",IF(Q231&lt;=N231,"Sim","Não"))</f>
        <v/>
      </c>
      <c r="T231" s="19"/>
      <c r="U231" s="12"/>
      <c r="V231" s="12"/>
    </row>
    <row r="232" customFormat="false" ht="15" hidden="false" customHeight="false" outlineLevel="0" collapsed="false">
      <c r="A232" s="12"/>
      <c r="B232" s="18"/>
      <c r="C232" s="12"/>
      <c r="D232" s="11" t="str">
        <f aca="false">IF(C232="","",IFERROR(INDEX(Unidades!$B$2:$B$218,MATCH(C232,Unidades!$A$2:$A$218,0)),"Código não encontrado"))</f>
        <v/>
      </c>
      <c r="E232" s="11" t="str">
        <f aca="false">IF(C232="","",IFERROR(INDEX(Unidades!$C$2:$C$218,MATCH(C232,Unidades!$A$2:$A$218,0)),""))</f>
        <v/>
      </c>
      <c r="F232" s="12"/>
      <c r="G232" s="12"/>
      <c r="H232" s="12"/>
      <c r="I232" s="12"/>
      <c r="J232" s="12"/>
      <c r="K232" s="19"/>
      <c r="L232" s="12"/>
      <c r="M232" s="11" t="str">
        <f aca="false">IF(L232="","",IFERROR(INDEX(Prioridade_SLA!$B$2:$B$5,MATCH(L232,Prioridade_SLA!$A$2:$A$5,0)),""))</f>
        <v/>
      </c>
      <c r="N232" s="16" t="str">
        <f aca="false">IF(OR(B232="",M232=""),"",B232+M232/24)</f>
        <v/>
      </c>
      <c r="O232" s="12"/>
      <c r="P232" s="12"/>
      <c r="Q232" s="18"/>
      <c r="R232" s="17" t="str">
        <f aca="false">IF(OR(B232="",Q232=""),"",(Q232-B232)*24)</f>
        <v/>
      </c>
      <c r="S232" s="11" t="str">
        <f aca="false">IF(OR(N232="",Q232=""),"",IF(Q232&lt;=N232,"Sim","Não"))</f>
        <v/>
      </c>
      <c r="T232" s="19"/>
      <c r="U232" s="12"/>
      <c r="V232" s="12"/>
    </row>
    <row r="233" customFormat="false" ht="15" hidden="false" customHeight="false" outlineLevel="0" collapsed="false">
      <c r="A233" s="12"/>
      <c r="B233" s="18"/>
      <c r="C233" s="12"/>
      <c r="D233" s="11" t="str">
        <f aca="false">IF(C233="","",IFERROR(INDEX(Unidades!$B$2:$B$218,MATCH(C233,Unidades!$A$2:$A$218,0)),"Código não encontrado"))</f>
        <v/>
      </c>
      <c r="E233" s="11" t="str">
        <f aca="false">IF(C233="","",IFERROR(INDEX(Unidades!$C$2:$C$218,MATCH(C233,Unidades!$A$2:$A$218,0)),""))</f>
        <v/>
      </c>
      <c r="F233" s="12"/>
      <c r="G233" s="12"/>
      <c r="H233" s="12"/>
      <c r="I233" s="12"/>
      <c r="J233" s="12"/>
      <c r="K233" s="19"/>
      <c r="L233" s="12"/>
      <c r="M233" s="11" t="str">
        <f aca="false">IF(L233="","",IFERROR(INDEX(Prioridade_SLA!$B$2:$B$5,MATCH(L233,Prioridade_SLA!$A$2:$A$5,0)),""))</f>
        <v/>
      </c>
      <c r="N233" s="16" t="str">
        <f aca="false">IF(OR(B233="",M233=""),"",B233+M233/24)</f>
        <v/>
      </c>
      <c r="O233" s="12"/>
      <c r="P233" s="12"/>
      <c r="Q233" s="18"/>
      <c r="R233" s="17" t="str">
        <f aca="false">IF(OR(B233="",Q233=""),"",(Q233-B233)*24)</f>
        <v/>
      </c>
      <c r="S233" s="11" t="str">
        <f aca="false">IF(OR(N233="",Q233=""),"",IF(Q233&lt;=N233,"Sim","Não"))</f>
        <v/>
      </c>
      <c r="T233" s="19"/>
      <c r="U233" s="12"/>
      <c r="V233" s="12"/>
    </row>
    <row r="234" customFormat="false" ht="15" hidden="false" customHeight="false" outlineLevel="0" collapsed="false">
      <c r="A234" s="12"/>
      <c r="B234" s="18"/>
      <c r="C234" s="12"/>
      <c r="D234" s="11" t="str">
        <f aca="false">IF(C234="","",IFERROR(INDEX(Unidades!$B$2:$B$218,MATCH(C234,Unidades!$A$2:$A$218,0)),"Código não encontrado"))</f>
        <v/>
      </c>
      <c r="E234" s="11" t="str">
        <f aca="false">IF(C234="","",IFERROR(INDEX(Unidades!$C$2:$C$218,MATCH(C234,Unidades!$A$2:$A$218,0)),""))</f>
        <v/>
      </c>
      <c r="F234" s="12"/>
      <c r="G234" s="12"/>
      <c r="H234" s="12"/>
      <c r="I234" s="12"/>
      <c r="J234" s="12"/>
      <c r="K234" s="19"/>
      <c r="L234" s="12"/>
      <c r="M234" s="11" t="str">
        <f aca="false">IF(L234="","",IFERROR(INDEX(Prioridade_SLA!$B$2:$B$5,MATCH(L234,Prioridade_SLA!$A$2:$A$5,0)),""))</f>
        <v/>
      </c>
      <c r="N234" s="16" t="str">
        <f aca="false">IF(OR(B234="",M234=""),"",B234+M234/24)</f>
        <v/>
      </c>
      <c r="O234" s="12"/>
      <c r="P234" s="12"/>
      <c r="Q234" s="18"/>
      <c r="R234" s="17" t="str">
        <f aca="false">IF(OR(B234="",Q234=""),"",(Q234-B234)*24)</f>
        <v/>
      </c>
      <c r="S234" s="11" t="str">
        <f aca="false">IF(OR(N234="",Q234=""),"",IF(Q234&lt;=N234,"Sim","Não"))</f>
        <v/>
      </c>
      <c r="T234" s="19"/>
      <c r="U234" s="12"/>
      <c r="V234" s="12"/>
    </row>
    <row r="235" customFormat="false" ht="15" hidden="false" customHeight="false" outlineLevel="0" collapsed="false">
      <c r="A235" s="12"/>
      <c r="B235" s="18"/>
      <c r="C235" s="12"/>
      <c r="D235" s="11" t="str">
        <f aca="false">IF(C235="","",IFERROR(INDEX(Unidades!$B$2:$B$218,MATCH(C235,Unidades!$A$2:$A$218,0)),"Código não encontrado"))</f>
        <v/>
      </c>
      <c r="E235" s="11" t="str">
        <f aca="false">IF(C235="","",IFERROR(INDEX(Unidades!$C$2:$C$218,MATCH(C235,Unidades!$A$2:$A$218,0)),""))</f>
        <v/>
      </c>
      <c r="F235" s="12"/>
      <c r="G235" s="12"/>
      <c r="H235" s="12"/>
      <c r="I235" s="12"/>
      <c r="J235" s="12"/>
      <c r="K235" s="19"/>
      <c r="L235" s="12"/>
      <c r="M235" s="11" t="str">
        <f aca="false">IF(L235="","",IFERROR(INDEX(Prioridade_SLA!$B$2:$B$5,MATCH(L235,Prioridade_SLA!$A$2:$A$5,0)),""))</f>
        <v/>
      </c>
      <c r="N235" s="16" t="str">
        <f aca="false">IF(OR(B235="",M235=""),"",B235+M235/24)</f>
        <v/>
      </c>
      <c r="O235" s="12"/>
      <c r="P235" s="12"/>
      <c r="Q235" s="18"/>
      <c r="R235" s="17" t="str">
        <f aca="false">IF(OR(B235="",Q235=""),"",(Q235-B235)*24)</f>
        <v/>
      </c>
      <c r="S235" s="11" t="str">
        <f aca="false">IF(OR(N235="",Q235=""),"",IF(Q235&lt;=N235,"Sim","Não"))</f>
        <v/>
      </c>
      <c r="T235" s="19"/>
      <c r="U235" s="12"/>
      <c r="V235" s="12"/>
    </row>
    <row r="236" customFormat="false" ht="15" hidden="false" customHeight="false" outlineLevel="0" collapsed="false">
      <c r="A236" s="12"/>
      <c r="B236" s="18"/>
      <c r="C236" s="12"/>
      <c r="D236" s="11" t="str">
        <f aca="false">IF(C236="","",IFERROR(INDEX(Unidades!$B$2:$B$218,MATCH(C236,Unidades!$A$2:$A$218,0)),"Código não encontrado"))</f>
        <v/>
      </c>
      <c r="E236" s="11" t="str">
        <f aca="false">IF(C236="","",IFERROR(INDEX(Unidades!$C$2:$C$218,MATCH(C236,Unidades!$A$2:$A$218,0)),""))</f>
        <v/>
      </c>
      <c r="F236" s="12"/>
      <c r="G236" s="12"/>
      <c r="H236" s="12"/>
      <c r="I236" s="12"/>
      <c r="J236" s="12"/>
      <c r="K236" s="19"/>
      <c r="L236" s="12"/>
      <c r="M236" s="11" t="str">
        <f aca="false">IF(L236="","",IFERROR(INDEX(Prioridade_SLA!$B$2:$B$5,MATCH(L236,Prioridade_SLA!$A$2:$A$5,0)),""))</f>
        <v/>
      </c>
      <c r="N236" s="16" t="str">
        <f aca="false">IF(OR(B236="",M236=""),"",B236+M236/24)</f>
        <v/>
      </c>
      <c r="O236" s="12"/>
      <c r="P236" s="12"/>
      <c r="Q236" s="18"/>
      <c r="R236" s="17" t="str">
        <f aca="false">IF(OR(B236="",Q236=""),"",(Q236-B236)*24)</f>
        <v/>
      </c>
      <c r="S236" s="11" t="str">
        <f aca="false">IF(OR(N236="",Q236=""),"",IF(Q236&lt;=N236,"Sim","Não"))</f>
        <v/>
      </c>
      <c r="T236" s="19"/>
      <c r="U236" s="12"/>
      <c r="V236" s="12"/>
    </row>
    <row r="237" customFormat="false" ht="15" hidden="false" customHeight="false" outlineLevel="0" collapsed="false">
      <c r="A237" s="12"/>
      <c r="B237" s="18"/>
      <c r="C237" s="12"/>
      <c r="D237" s="11" t="str">
        <f aca="false">IF(C237="","",IFERROR(INDEX(Unidades!$B$2:$B$218,MATCH(C237,Unidades!$A$2:$A$218,0)),"Código não encontrado"))</f>
        <v/>
      </c>
      <c r="E237" s="11" t="str">
        <f aca="false">IF(C237="","",IFERROR(INDEX(Unidades!$C$2:$C$218,MATCH(C237,Unidades!$A$2:$A$218,0)),""))</f>
        <v/>
      </c>
      <c r="F237" s="12"/>
      <c r="G237" s="12"/>
      <c r="H237" s="12"/>
      <c r="I237" s="12"/>
      <c r="J237" s="12"/>
      <c r="K237" s="19"/>
      <c r="L237" s="12"/>
      <c r="M237" s="11" t="str">
        <f aca="false">IF(L237="","",IFERROR(INDEX(Prioridade_SLA!$B$2:$B$5,MATCH(L237,Prioridade_SLA!$A$2:$A$5,0)),""))</f>
        <v/>
      </c>
      <c r="N237" s="16" t="str">
        <f aca="false">IF(OR(B237="",M237=""),"",B237+M237/24)</f>
        <v/>
      </c>
      <c r="O237" s="12"/>
      <c r="P237" s="12"/>
      <c r="Q237" s="18"/>
      <c r="R237" s="17" t="str">
        <f aca="false">IF(OR(B237="",Q237=""),"",(Q237-B237)*24)</f>
        <v/>
      </c>
      <c r="S237" s="11" t="str">
        <f aca="false">IF(OR(N237="",Q237=""),"",IF(Q237&lt;=N237,"Sim","Não"))</f>
        <v/>
      </c>
      <c r="T237" s="19"/>
      <c r="U237" s="12"/>
      <c r="V237" s="12"/>
    </row>
    <row r="238" customFormat="false" ht="15" hidden="false" customHeight="false" outlineLevel="0" collapsed="false">
      <c r="A238" s="12"/>
      <c r="B238" s="18"/>
      <c r="C238" s="12"/>
      <c r="D238" s="11" t="str">
        <f aca="false">IF(C238="","",IFERROR(INDEX(Unidades!$B$2:$B$218,MATCH(C238,Unidades!$A$2:$A$218,0)),"Código não encontrado"))</f>
        <v/>
      </c>
      <c r="E238" s="11" t="str">
        <f aca="false">IF(C238="","",IFERROR(INDEX(Unidades!$C$2:$C$218,MATCH(C238,Unidades!$A$2:$A$218,0)),""))</f>
        <v/>
      </c>
      <c r="F238" s="12"/>
      <c r="G238" s="12"/>
      <c r="H238" s="12"/>
      <c r="I238" s="12"/>
      <c r="J238" s="12"/>
      <c r="K238" s="19"/>
      <c r="L238" s="12"/>
      <c r="M238" s="11" t="str">
        <f aca="false">IF(L238="","",IFERROR(INDEX(Prioridade_SLA!$B$2:$B$5,MATCH(L238,Prioridade_SLA!$A$2:$A$5,0)),""))</f>
        <v/>
      </c>
      <c r="N238" s="16" t="str">
        <f aca="false">IF(OR(B238="",M238=""),"",B238+M238/24)</f>
        <v/>
      </c>
      <c r="O238" s="12"/>
      <c r="P238" s="12"/>
      <c r="Q238" s="18"/>
      <c r="R238" s="17" t="str">
        <f aca="false">IF(OR(B238="",Q238=""),"",(Q238-B238)*24)</f>
        <v/>
      </c>
      <c r="S238" s="11" t="str">
        <f aca="false">IF(OR(N238="",Q238=""),"",IF(Q238&lt;=N238,"Sim","Não"))</f>
        <v/>
      </c>
      <c r="T238" s="19"/>
      <c r="U238" s="12"/>
      <c r="V238" s="12"/>
    </row>
    <row r="239" customFormat="false" ht="15" hidden="false" customHeight="false" outlineLevel="0" collapsed="false">
      <c r="A239" s="12"/>
      <c r="B239" s="18"/>
      <c r="C239" s="12"/>
      <c r="D239" s="11" t="str">
        <f aca="false">IF(C239="","",IFERROR(INDEX(Unidades!$B$2:$B$218,MATCH(C239,Unidades!$A$2:$A$218,0)),"Código não encontrado"))</f>
        <v/>
      </c>
      <c r="E239" s="11" t="str">
        <f aca="false">IF(C239="","",IFERROR(INDEX(Unidades!$C$2:$C$218,MATCH(C239,Unidades!$A$2:$A$218,0)),""))</f>
        <v/>
      </c>
      <c r="F239" s="12"/>
      <c r="G239" s="12"/>
      <c r="H239" s="12"/>
      <c r="I239" s="12"/>
      <c r="J239" s="12"/>
      <c r="K239" s="19"/>
      <c r="L239" s="12"/>
      <c r="M239" s="11" t="str">
        <f aca="false">IF(L239="","",IFERROR(INDEX(Prioridade_SLA!$B$2:$B$5,MATCH(L239,Prioridade_SLA!$A$2:$A$5,0)),""))</f>
        <v/>
      </c>
      <c r="N239" s="16" t="str">
        <f aca="false">IF(OR(B239="",M239=""),"",B239+M239/24)</f>
        <v/>
      </c>
      <c r="O239" s="12"/>
      <c r="P239" s="12"/>
      <c r="Q239" s="18"/>
      <c r="R239" s="17" t="str">
        <f aca="false">IF(OR(B239="",Q239=""),"",(Q239-B239)*24)</f>
        <v/>
      </c>
      <c r="S239" s="11" t="str">
        <f aca="false">IF(OR(N239="",Q239=""),"",IF(Q239&lt;=N239,"Sim","Não"))</f>
        <v/>
      </c>
      <c r="T239" s="19"/>
      <c r="U239" s="12"/>
      <c r="V239" s="12"/>
    </row>
    <row r="240" customFormat="false" ht="15" hidden="false" customHeight="false" outlineLevel="0" collapsed="false">
      <c r="A240" s="12"/>
      <c r="B240" s="18"/>
      <c r="C240" s="12"/>
      <c r="D240" s="11" t="str">
        <f aca="false">IF(C240="","",IFERROR(INDEX(Unidades!$B$2:$B$218,MATCH(C240,Unidades!$A$2:$A$218,0)),"Código não encontrado"))</f>
        <v/>
      </c>
      <c r="E240" s="11" t="str">
        <f aca="false">IF(C240="","",IFERROR(INDEX(Unidades!$C$2:$C$218,MATCH(C240,Unidades!$A$2:$A$218,0)),""))</f>
        <v/>
      </c>
      <c r="F240" s="12"/>
      <c r="G240" s="12"/>
      <c r="H240" s="12"/>
      <c r="I240" s="12"/>
      <c r="J240" s="12"/>
      <c r="K240" s="19"/>
      <c r="L240" s="12"/>
      <c r="M240" s="11" t="str">
        <f aca="false">IF(L240="","",IFERROR(INDEX(Prioridade_SLA!$B$2:$B$5,MATCH(L240,Prioridade_SLA!$A$2:$A$5,0)),""))</f>
        <v/>
      </c>
      <c r="N240" s="16" t="str">
        <f aca="false">IF(OR(B240="",M240=""),"",B240+M240/24)</f>
        <v/>
      </c>
      <c r="O240" s="12"/>
      <c r="P240" s="12"/>
      <c r="Q240" s="18"/>
      <c r="R240" s="17" t="str">
        <f aca="false">IF(OR(B240="",Q240=""),"",(Q240-B240)*24)</f>
        <v/>
      </c>
      <c r="S240" s="11" t="str">
        <f aca="false">IF(OR(N240="",Q240=""),"",IF(Q240&lt;=N240,"Sim","Não"))</f>
        <v/>
      </c>
      <c r="T240" s="19"/>
      <c r="U240" s="12"/>
      <c r="V240" s="12"/>
    </row>
    <row r="241" customFormat="false" ht="15" hidden="false" customHeight="false" outlineLevel="0" collapsed="false">
      <c r="A241" s="12"/>
      <c r="B241" s="18"/>
      <c r="C241" s="12"/>
      <c r="D241" s="11" t="str">
        <f aca="false">IF(C241="","",IFERROR(INDEX(Unidades!$B$2:$B$218,MATCH(C241,Unidades!$A$2:$A$218,0)),"Código não encontrado"))</f>
        <v/>
      </c>
      <c r="E241" s="11" t="str">
        <f aca="false">IF(C241="","",IFERROR(INDEX(Unidades!$C$2:$C$218,MATCH(C241,Unidades!$A$2:$A$218,0)),""))</f>
        <v/>
      </c>
      <c r="F241" s="12"/>
      <c r="G241" s="12"/>
      <c r="H241" s="12"/>
      <c r="I241" s="12"/>
      <c r="J241" s="12"/>
      <c r="K241" s="19"/>
      <c r="L241" s="12"/>
      <c r="M241" s="11" t="str">
        <f aca="false">IF(L241="","",IFERROR(INDEX(Prioridade_SLA!$B$2:$B$5,MATCH(L241,Prioridade_SLA!$A$2:$A$5,0)),""))</f>
        <v/>
      </c>
      <c r="N241" s="16" t="str">
        <f aca="false">IF(OR(B241="",M241=""),"",B241+M241/24)</f>
        <v/>
      </c>
      <c r="O241" s="12"/>
      <c r="P241" s="12"/>
      <c r="Q241" s="18"/>
      <c r="R241" s="17" t="str">
        <f aca="false">IF(OR(B241="",Q241=""),"",(Q241-B241)*24)</f>
        <v/>
      </c>
      <c r="S241" s="11" t="str">
        <f aca="false">IF(OR(N241="",Q241=""),"",IF(Q241&lt;=N241,"Sim","Não"))</f>
        <v/>
      </c>
      <c r="T241" s="19"/>
      <c r="U241" s="12"/>
      <c r="V241" s="12"/>
    </row>
    <row r="242" customFormat="false" ht="15" hidden="false" customHeight="false" outlineLevel="0" collapsed="false">
      <c r="A242" s="12"/>
      <c r="B242" s="18"/>
      <c r="C242" s="12"/>
      <c r="D242" s="11" t="str">
        <f aca="false">IF(C242="","",IFERROR(INDEX(Unidades!$B$2:$B$218,MATCH(C242,Unidades!$A$2:$A$218,0)),"Código não encontrado"))</f>
        <v/>
      </c>
      <c r="E242" s="11" t="str">
        <f aca="false">IF(C242="","",IFERROR(INDEX(Unidades!$C$2:$C$218,MATCH(C242,Unidades!$A$2:$A$218,0)),""))</f>
        <v/>
      </c>
      <c r="F242" s="12"/>
      <c r="G242" s="12"/>
      <c r="H242" s="12"/>
      <c r="I242" s="12"/>
      <c r="J242" s="12"/>
      <c r="K242" s="19"/>
      <c r="L242" s="12"/>
      <c r="M242" s="11" t="str">
        <f aca="false">IF(L242="","",IFERROR(INDEX(Prioridade_SLA!$B$2:$B$5,MATCH(L242,Prioridade_SLA!$A$2:$A$5,0)),""))</f>
        <v/>
      </c>
      <c r="N242" s="16" t="str">
        <f aca="false">IF(OR(B242="",M242=""),"",B242+M242/24)</f>
        <v/>
      </c>
      <c r="O242" s="12"/>
      <c r="P242" s="12"/>
      <c r="Q242" s="18"/>
      <c r="R242" s="17" t="str">
        <f aca="false">IF(OR(B242="",Q242=""),"",(Q242-B242)*24)</f>
        <v/>
      </c>
      <c r="S242" s="11" t="str">
        <f aca="false">IF(OR(N242="",Q242=""),"",IF(Q242&lt;=N242,"Sim","Não"))</f>
        <v/>
      </c>
      <c r="T242" s="19"/>
      <c r="U242" s="12"/>
      <c r="V242" s="12"/>
    </row>
    <row r="243" customFormat="false" ht="15" hidden="false" customHeight="false" outlineLevel="0" collapsed="false">
      <c r="A243" s="12"/>
      <c r="B243" s="18"/>
      <c r="C243" s="12"/>
      <c r="D243" s="11" t="str">
        <f aca="false">IF(C243="","",IFERROR(INDEX(Unidades!$B$2:$B$218,MATCH(C243,Unidades!$A$2:$A$218,0)),"Código não encontrado"))</f>
        <v/>
      </c>
      <c r="E243" s="11" t="str">
        <f aca="false">IF(C243="","",IFERROR(INDEX(Unidades!$C$2:$C$218,MATCH(C243,Unidades!$A$2:$A$218,0)),""))</f>
        <v/>
      </c>
      <c r="F243" s="12"/>
      <c r="G243" s="12"/>
      <c r="H243" s="12"/>
      <c r="I243" s="12"/>
      <c r="J243" s="12"/>
      <c r="K243" s="19"/>
      <c r="L243" s="12"/>
      <c r="M243" s="11" t="str">
        <f aca="false">IF(L243="","",IFERROR(INDEX(Prioridade_SLA!$B$2:$B$5,MATCH(L243,Prioridade_SLA!$A$2:$A$5,0)),""))</f>
        <v/>
      </c>
      <c r="N243" s="16" t="str">
        <f aca="false">IF(OR(B243="",M243=""),"",B243+M243/24)</f>
        <v/>
      </c>
      <c r="O243" s="12"/>
      <c r="P243" s="12"/>
      <c r="Q243" s="18"/>
      <c r="R243" s="17" t="str">
        <f aca="false">IF(OR(B243="",Q243=""),"",(Q243-B243)*24)</f>
        <v/>
      </c>
      <c r="S243" s="11" t="str">
        <f aca="false">IF(OR(N243="",Q243=""),"",IF(Q243&lt;=N243,"Sim","Não"))</f>
        <v/>
      </c>
      <c r="T243" s="19"/>
      <c r="U243" s="12"/>
      <c r="V243" s="12"/>
    </row>
    <row r="244" customFormat="false" ht="15" hidden="false" customHeight="false" outlineLevel="0" collapsed="false">
      <c r="A244" s="12"/>
      <c r="B244" s="18"/>
      <c r="C244" s="12"/>
      <c r="D244" s="11" t="str">
        <f aca="false">IF(C244="","",IFERROR(INDEX(Unidades!$B$2:$B$218,MATCH(C244,Unidades!$A$2:$A$218,0)),"Código não encontrado"))</f>
        <v/>
      </c>
      <c r="E244" s="11" t="str">
        <f aca="false">IF(C244="","",IFERROR(INDEX(Unidades!$C$2:$C$218,MATCH(C244,Unidades!$A$2:$A$218,0)),""))</f>
        <v/>
      </c>
      <c r="F244" s="12"/>
      <c r="G244" s="12"/>
      <c r="H244" s="12"/>
      <c r="I244" s="12"/>
      <c r="J244" s="12"/>
      <c r="K244" s="19"/>
      <c r="L244" s="12"/>
      <c r="M244" s="11" t="str">
        <f aca="false">IF(L244="","",IFERROR(INDEX(Prioridade_SLA!$B$2:$B$5,MATCH(L244,Prioridade_SLA!$A$2:$A$5,0)),""))</f>
        <v/>
      </c>
      <c r="N244" s="16" t="str">
        <f aca="false">IF(OR(B244="",M244=""),"",B244+M244/24)</f>
        <v/>
      </c>
      <c r="O244" s="12"/>
      <c r="P244" s="12"/>
      <c r="Q244" s="18"/>
      <c r="R244" s="17" t="str">
        <f aca="false">IF(OR(B244="",Q244=""),"",(Q244-B244)*24)</f>
        <v/>
      </c>
      <c r="S244" s="11" t="str">
        <f aca="false">IF(OR(N244="",Q244=""),"",IF(Q244&lt;=N244,"Sim","Não"))</f>
        <v/>
      </c>
      <c r="T244" s="19"/>
      <c r="U244" s="12"/>
      <c r="V244" s="12"/>
    </row>
    <row r="245" customFormat="false" ht="15" hidden="false" customHeight="false" outlineLevel="0" collapsed="false">
      <c r="A245" s="12"/>
      <c r="B245" s="18"/>
      <c r="C245" s="12"/>
      <c r="D245" s="11" t="str">
        <f aca="false">IF(C245="","",IFERROR(INDEX(Unidades!$B$2:$B$218,MATCH(C245,Unidades!$A$2:$A$218,0)),"Código não encontrado"))</f>
        <v/>
      </c>
      <c r="E245" s="11" t="str">
        <f aca="false">IF(C245="","",IFERROR(INDEX(Unidades!$C$2:$C$218,MATCH(C245,Unidades!$A$2:$A$218,0)),""))</f>
        <v/>
      </c>
      <c r="F245" s="12"/>
      <c r="G245" s="12"/>
      <c r="H245" s="12"/>
      <c r="I245" s="12"/>
      <c r="J245" s="12"/>
      <c r="K245" s="19"/>
      <c r="L245" s="12"/>
      <c r="M245" s="11" t="str">
        <f aca="false">IF(L245="","",IFERROR(INDEX(Prioridade_SLA!$B$2:$B$5,MATCH(L245,Prioridade_SLA!$A$2:$A$5,0)),""))</f>
        <v/>
      </c>
      <c r="N245" s="16" t="str">
        <f aca="false">IF(OR(B245="",M245=""),"",B245+M245/24)</f>
        <v/>
      </c>
      <c r="O245" s="12"/>
      <c r="P245" s="12"/>
      <c r="Q245" s="18"/>
      <c r="R245" s="17" t="str">
        <f aca="false">IF(OR(B245="",Q245=""),"",(Q245-B245)*24)</f>
        <v/>
      </c>
      <c r="S245" s="11" t="str">
        <f aca="false">IF(OR(N245="",Q245=""),"",IF(Q245&lt;=N245,"Sim","Não"))</f>
        <v/>
      </c>
      <c r="T245" s="19"/>
      <c r="U245" s="12"/>
      <c r="V245" s="12"/>
    </row>
    <row r="246" customFormat="false" ht="15" hidden="false" customHeight="false" outlineLevel="0" collapsed="false">
      <c r="A246" s="12"/>
      <c r="B246" s="18"/>
      <c r="C246" s="12"/>
      <c r="D246" s="11" t="str">
        <f aca="false">IF(C246="","",IFERROR(INDEX(Unidades!$B$2:$B$218,MATCH(C246,Unidades!$A$2:$A$218,0)),"Código não encontrado"))</f>
        <v/>
      </c>
      <c r="E246" s="11" t="str">
        <f aca="false">IF(C246="","",IFERROR(INDEX(Unidades!$C$2:$C$218,MATCH(C246,Unidades!$A$2:$A$218,0)),""))</f>
        <v/>
      </c>
      <c r="F246" s="12"/>
      <c r="G246" s="12"/>
      <c r="H246" s="12"/>
      <c r="I246" s="12"/>
      <c r="J246" s="12"/>
      <c r="K246" s="19"/>
      <c r="L246" s="12"/>
      <c r="M246" s="11" t="str">
        <f aca="false">IF(L246="","",IFERROR(INDEX(Prioridade_SLA!$B$2:$B$5,MATCH(L246,Prioridade_SLA!$A$2:$A$5,0)),""))</f>
        <v/>
      </c>
      <c r="N246" s="16" t="str">
        <f aca="false">IF(OR(B246="",M246=""),"",B246+M246/24)</f>
        <v/>
      </c>
      <c r="O246" s="12"/>
      <c r="P246" s="12"/>
      <c r="Q246" s="18"/>
      <c r="R246" s="17" t="str">
        <f aca="false">IF(OR(B246="",Q246=""),"",(Q246-B246)*24)</f>
        <v/>
      </c>
      <c r="S246" s="11" t="str">
        <f aca="false">IF(OR(N246="",Q246=""),"",IF(Q246&lt;=N246,"Sim","Não"))</f>
        <v/>
      </c>
      <c r="T246" s="19"/>
      <c r="U246" s="12"/>
      <c r="V246" s="12"/>
    </row>
    <row r="247" customFormat="false" ht="15" hidden="false" customHeight="false" outlineLevel="0" collapsed="false">
      <c r="A247" s="12"/>
      <c r="B247" s="18"/>
      <c r="C247" s="12"/>
      <c r="D247" s="11" t="str">
        <f aca="false">IF(C247="","",IFERROR(INDEX(Unidades!$B$2:$B$218,MATCH(C247,Unidades!$A$2:$A$218,0)),"Código não encontrado"))</f>
        <v/>
      </c>
      <c r="E247" s="11" t="str">
        <f aca="false">IF(C247="","",IFERROR(INDEX(Unidades!$C$2:$C$218,MATCH(C247,Unidades!$A$2:$A$218,0)),""))</f>
        <v/>
      </c>
      <c r="F247" s="12"/>
      <c r="G247" s="12"/>
      <c r="H247" s="12"/>
      <c r="I247" s="12"/>
      <c r="J247" s="12"/>
      <c r="K247" s="19"/>
      <c r="L247" s="12"/>
      <c r="M247" s="11" t="str">
        <f aca="false">IF(L247="","",IFERROR(INDEX(Prioridade_SLA!$B$2:$B$5,MATCH(L247,Prioridade_SLA!$A$2:$A$5,0)),""))</f>
        <v/>
      </c>
      <c r="N247" s="16" t="str">
        <f aca="false">IF(OR(B247="",M247=""),"",B247+M247/24)</f>
        <v/>
      </c>
      <c r="O247" s="12"/>
      <c r="P247" s="12"/>
      <c r="Q247" s="18"/>
      <c r="R247" s="17" t="str">
        <f aca="false">IF(OR(B247="",Q247=""),"",(Q247-B247)*24)</f>
        <v/>
      </c>
      <c r="S247" s="11" t="str">
        <f aca="false">IF(OR(N247="",Q247=""),"",IF(Q247&lt;=N247,"Sim","Não"))</f>
        <v/>
      </c>
      <c r="T247" s="19"/>
      <c r="U247" s="12"/>
      <c r="V247" s="12"/>
    </row>
    <row r="248" customFormat="false" ht="15" hidden="false" customHeight="false" outlineLevel="0" collapsed="false">
      <c r="A248" s="12"/>
      <c r="B248" s="18"/>
      <c r="C248" s="12"/>
      <c r="D248" s="11" t="str">
        <f aca="false">IF(C248="","",IFERROR(INDEX(Unidades!$B$2:$B$218,MATCH(C248,Unidades!$A$2:$A$218,0)),"Código não encontrado"))</f>
        <v/>
      </c>
      <c r="E248" s="11" t="str">
        <f aca="false">IF(C248="","",IFERROR(INDEX(Unidades!$C$2:$C$218,MATCH(C248,Unidades!$A$2:$A$218,0)),""))</f>
        <v/>
      </c>
      <c r="F248" s="12"/>
      <c r="G248" s="12"/>
      <c r="H248" s="12"/>
      <c r="I248" s="12"/>
      <c r="J248" s="12"/>
      <c r="K248" s="19"/>
      <c r="L248" s="12"/>
      <c r="M248" s="11" t="str">
        <f aca="false">IF(L248="","",IFERROR(INDEX(Prioridade_SLA!$B$2:$B$5,MATCH(L248,Prioridade_SLA!$A$2:$A$5,0)),""))</f>
        <v/>
      </c>
      <c r="N248" s="16" t="str">
        <f aca="false">IF(OR(B248="",M248=""),"",B248+M248/24)</f>
        <v/>
      </c>
      <c r="O248" s="12"/>
      <c r="P248" s="12"/>
      <c r="Q248" s="18"/>
      <c r="R248" s="17" t="str">
        <f aca="false">IF(OR(B248="",Q248=""),"",(Q248-B248)*24)</f>
        <v/>
      </c>
      <c r="S248" s="11" t="str">
        <f aca="false">IF(OR(N248="",Q248=""),"",IF(Q248&lt;=N248,"Sim","Não"))</f>
        <v/>
      </c>
      <c r="T248" s="19"/>
      <c r="U248" s="12"/>
      <c r="V248" s="12"/>
    </row>
    <row r="249" customFormat="false" ht="15" hidden="false" customHeight="false" outlineLevel="0" collapsed="false">
      <c r="A249" s="12"/>
      <c r="B249" s="18"/>
      <c r="C249" s="12"/>
      <c r="D249" s="11" t="str">
        <f aca="false">IF(C249="","",IFERROR(INDEX(Unidades!$B$2:$B$218,MATCH(C249,Unidades!$A$2:$A$218,0)),"Código não encontrado"))</f>
        <v/>
      </c>
      <c r="E249" s="11" t="str">
        <f aca="false">IF(C249="","",IFERROR(INDEX(Unidades!$C$2:$C$218,MATCH(C249,Unidades!$A$2:$A$218,0)),""))</f>
        <v/>
      </c>
      <c r="F249" s="12"/>
      <c r="G249" s="12"/>
      <c r="H249" s="12"/>
      <c r="I249" s="12"/>
      <c r="J249" s="12"/>
      <c r="K249" s="19"/>
      <c r="L249" s="12"/>
      <c r="M249" s="11" t="str">
        <f aca="false">IF(L249="","",IFERROR(INDEX(Prioridade_SLA!$B$2:$B$5,MATCH(L249,Prioridade_SLA!$A$2:$A$5,0)),""))</f>
        <v/>
      </c>
      <c r="N249" s="16" t="str">
        <f aca="false">IF(OR(B249="",M249=""),"",B249+M249/24)</f>
        <v/>
      </c>
      <c r="O249" s="12"/>
      <c r="P249" s="12"/>
      <c r="Q249" s="18"/>
      <c r="R249" s="17" t="str">
        <f aca="false">IF(OR(B249="",Q249=""),"",(Q249-B249)*24)</f>
        <v/>
      </c>
      <c r="S249" s="11" t="str">
        <f aca="false">IF(OR(N249="",Q249=""),"",IF(Q249&lt;=N249,"Sim","Não"))</f>
        <v/>
      </c>
      <c r="T249" s="19"/>
      <c r="U249" s="12"/>
      <c r="V249" s="12"/>
    </row>
    <row r="250" customFormat="false" ht="15" hidden="false" customHeight="false" outlineLevel="0" collapsed="false">
      <c r="A250" s="12"/>
      <c r="B250" s="18"/>
      <c r="C250" s="12"/>
      <c r="D250" s="11" t="str">
        <f aca="false">IF(C250="","",IFERROR(INDEX(Unidades!$B$2:$B$218,MATCH(C250,Unidades!$A$2:$A$218,0)),"Código não encontrado"))</f>
        <v/>
      </c>
      <c r="E250" s="11" t="str">
        <f aca="false">IF(C250="","",IFERROR(INDEX(Unidades!$C$2:$C$218,MATCH(C250,Unidades!$A$2:$A$218,0)),""))</f>
        <v/>
      </c>
      <c r="F250" s="12"/>
      <c r="G250" s="12"/>
      <c r="H250" s="12"/>
      <c r="I250" s="12"/>
      <c r="J250" s="12"/>
      <c r="K250" s="19"/>
      <c r="L250" s="12"/>
      <c r="M250" s="11" t="str">
        <f aca="false">IF(L250="","",IFERROR(INDEX(Prioridade_SLA!$B$2:$B$5,MATCH(L250,Prioridade_SLA!$A$2:$A$5,0)),""))</f>
        <v/>
      </c>
      <c r="N250" s="16" t="str">
        <f aca="false">IF(OR(B250="",M250=""),"",B250+M250/24)</f>
        <v/>
      </c>
      <c r="O250" s="12"/>
      <c r="P250" s="12"/>
      <c r="Q250" s="18"/>
      <c r="R250" s="17" t="str">
        <f aca="false">IF(OR(B250="",Q250=""),"",(Q250-B250)*24)</f>
        <v/>
      </c>
      <c r="S250" s="11" t="str">
        <f aca="false">IF(OR(N250="",Q250=""),"",IF(Q250&lt;=N250,"Sim","Não"))</f>
        <v/>
      </c>
      <c r="T250" s="19"/>
      <c r="U250" s="12"/>
      <c r="V250" s="12"/>
    </row>
    <row r="251" customFormat="false" ht="15" hidden="false" customHeight="false" outlineLevel="0" collapsed="false">
      <c r="A251" s="12"/>
      <c r="B251" s="18"/>
      <c r="C251" s="12"/>
      <c r="D251" s="11" t="str">
        <f aca="false">IF(C251="","",IFERROR(INDEX(Unidades!$B$2:$B$218,MATCH(C251,Unidades!$A$2:$A$218,0)),"Código não encontrado"))</f>
        <v/>
      </c>
      <c r="E251" s="11" t="str">
        <f aca="false">IF(C251="","",IFERROR(INDEX(Unidades!$C$2:$C$218,MATCH(C251,Unidades!$A$2:$A$218,0)),""))</f>
        <v/>
      </c>
      <c r="F251" s="12"/>
      <c r="G251" s="12"/>
      <c r="H251" s="12"/>
      <c r="I251" s="12"/>
      <c r="J251" s="12"/>
      <c r="K251" s="19"/>
      <c r="L251" s="12"/>
      <c r="M251" s="11" t="str">
        <f aca="false">IF(L251="","",IFERROR(INDEX(Prioridade_SLA!$B$2:$B$5,MATCH(L251,Prioridade_SLA!$A$2:$A$5,0)),""))</f>
        <v/>
      </c>
      <c r="N251" s="16" t="str">
        <f aca="false">IF(OR(B251="",M251=""),"",B251+M251/24)</f>
        <v/>
      </c>
      <c r="O251" s="12"/>
      <c r="P251" s="12"/>
      <c r="Q251" s="18"/>
      <c r="R251" s="17" t="str">
        <f aca="false">IF(OR(B251="",Q251=""),"",(Q251-B251)*24)</f>
        <v/>
      </c>
      <c r="S251" s="11" t="str">
        <f aca="false">IF(OR(N251="",Q251=""),"",IF(Q251&lt;=N251,"Sim","Não"))</f>
        <v/>
      </c>
      <c r="T251" s="19"/>
      <c r="U251" s="12"/>
      <c r="V251" s="12"/>
    </row>
    <row r="252" customFormat="false" ht="15" hidden="false" customHeight="false" outlineLevel="0" collapsed="false">
      <c r="A252" s="12"/>
      <c r="B252" s="18"/>
      <c r="C252" s="12"/>
      <c r="D252" s="11" t="str">
        <f aca="false">IF(C252="","",IFERROR(INDEX(Unidades!$B$2:$B$218,MATCH(C252,Unidades!$A$2:$A$218,0)),"Código não encontrado"))</f>
        <v/>
      </c>
      <c r="E252" s="11" t="str">
        <f aca="false">IF(C252="","",IFERROR(INDEX(Unidades!$C$2:$C$218,MATCH(C252,Unidades!$A$2:$A$218,0)),""))</f>
        <v/>
      </c>
      <c r="F252" s="12"/>
      <c r="G252" s="12"/>
      <c r="H252" s="12"/>
      <c r="I252" s="12"/>
      <c r="J252" s="12"/>
      <c r="K252" s="19"/>
      <c r="L252" s="12"/>
      <c r="M252" s="11" t="str">
        <f aca="false">IF(L252="","",IFERROR(INDEX(Prioridade_SLA!$B$2:$B$5,MATCH(L252,Prioridade_SLA!$A$2:$A$5,0)),""))</f>
        <v/>
      </c>
      <c r="N252" s="16" t="str">
        <f aca="false">IF(OR(B252="",M252=""),"",B252+M252/24)</f>
        <v/>
      </c>
      <c r="O252" s="12"/>
      <c r="P252" s="12"/>
      <c r="Q252" s="18"/>
      <c r="R252" s="17" t="str">
        <f aca="false">IF(OR(B252="",Q252=""),"",(Q252-B252)*24)</f>
        <v/>
      </c>
      <c r="S252" s="11" t="str">
        <f aca="false">IF(OR(N252="",Q252=""),"",IF(Q252&lt;=N252,"Sim","Não"))</f>
        <v/>
      </c>
      <c r="T252" s="19"/>
      <c r="U252" s="12"/>
      <c r="V252" s="12"/>
    </row>
    <row r="253" customFormat="false" ht="15" hidden="false" customHeight="false" outlineLevel="0" collapsed="false">
      <c r="A253" s="12"/>
      <c r="B253" s="18"/>
      <c r="C253" s="12"/>
      <c r="D253" s="11" t="str">
        <f aca="false">IF(C253="","",IFERROR(INDEX(Unidades!$B$2:$B$218,MATCH(C253,Unidades!$A$2:$A$218,0)),"Código não encontrado"))</f>
        <v/>
      </c>
      <c r="E253" s="11" t="str">
        <f aca="false">IF(C253="","",IFERROR(INDEX(Unidades!$C$2:$C$218,MATCH(C253,Unidades!$A$2:$A$218,0)),""))</f>
        <v/>
      </c>
      <c r="F253" s="12"/>
      <c r="G253" s="12"/>
      <c r="H253" s="12"/>
      <c r="I253" s="12"/>
      <c r="J253" s="12"/>
      <c r="K253" s="19"/>
      <c r="L253" s="12"/>
      <c r="M253" s="11" t="str">
        <f aca="false">IF(L253="","",IFERROR(INDEX(Prioridade_SLA!$B$2:$B$5,MATCH(L253,Prioridade_SLA!$A$2:$A$5,0)),""))</f>
        <v/>
      </c>
      <c r="N253" s="16" t="str">
        <f aca="false">IF(OR(B253="",M253=""),"",B253+M253/24)</f>
        <v/>
      </c>
      <c r="O253" s="12"/>
      <c r="P253" s="12"/>
      <c r="Q253" s="18"/>
      <c r="R253" s="17" t="str">
        <f aca="false">IF(OR(B253="",Q253=""),"",(Q253-B253)*24)</f>
        <v/>
      </c>
      <c r="S253" s="11" t="str">
        <f aca="false">IF(OR(N253="",Q253=""),"",IF(Q253&lt;=N253,"Sim","Não"))</f>
        <v/>
      </c>
      <c r="T253" s="19"/>
      <c r="U253" s="12"/>
      <c r="V253" s="12"/>
    </row>
    <row r="254" customFormat="false" ht="15" hidden="false" customHeight="false" outlineLevel="0" collapsed="false">
      <c r="A254" s="12"/>
      <c r="B254" s="18"/>
      <c r="C254" s="12"/>
      <c r="D254" s="11" t="str">
        <f aca="false">IF(C254="","",IFERROR(INDEX(Unidades!$B$2:$B$218,MATCH(C254,Unidades!$A$2:$A$218,0)),"Código não encontrado"))</f>
        <v/>
      </c>
      <c r="E254" s="11" t="str">
        <f aca="false">IF(C254="","",IFERROR(INDEX(Unidades!$C$2:$C$218,MATCH(C254,Unidades!$A$2:$A$218,0)),""))</f>
        <v/>
      </c>
      <c r="F254" s="12"/>
      <c r="G254" s="12"/>
      <c r="H254" s="12"/>
      <c r="I254" s="12"/>
      <c r="J254" s="12"/>
      <c r="K254" s="19"/>
      <c r="L254" s="12"/>
      <c r="M254" s="11" t="str">
        <f aca="false">IF(L254="","",IFERROR(INDEX(Prioridade_SLA!$B$2:$B$5,MATCH(L254,Prioridade_SLA!$A$2:$A$5,0)),""))</f>
        <v/>
      </c>
      <c r="N254" s="16" t="str">
        <f aca="false">IF(OR(B254="",M254=""),"",B254+M254/24)</f>
        <v/>
      </c>
      <c r="O254" s="12"/>
      <c r="P254" s="12"/>
      <c r="Q254" s="18"/>
      <c r="R254" s="17" t="str">
        <f aca="false">IF(OR(B254="",Q254=""),"",(Q254-B254)*24)</f>
        <v/>
      </c>
      <c r="S254" s="11" t="str">
        <f aca="false">IF(OR(N254="",Q254=""),"",IF(Q254&lt;=N254,"Sim","Não"))</f>
        <v/>
      </c>
      <c r="T254" s="19"/>
      <c r="U254" s="12"/>
      <c r="V254" s="12"/>
    </row>
    <row r="255" customFormat="false" ht="15" hidden="false" customHeight="false" outlineLevel="0" collapsed="false">
      <c r="A255" s="12"/>
      <c r="B255" s="18"/>
      <c r="C255" s="12"/>
      <c r="D255" s="11" t="str">
        <f aca="false">IF(C255="","",IFERROR(INDEX(Unidades!$B$2:$B$218,MATCH(C255,Unidades!$A$2:$A$218,0)),"Código não encontrado"))</f>
        <v/>
      </c>
      <c r="E255" s="11" t="str">
        <f aca="false">IF(C255="","",IFERROR(INDEX(Unidades!$C$2:$C$218,MATCH(C255,Unidades!$A$2:$A$218,0)),""))</f>
        <v/>
      </c>
      <c r="F255" s="12"/>
      <c r="G255" s="12"/>
      <c r="H255" s="12"/>
      <c r="I255" s="12"/>
      <c r="J255" s="12"/>
      <c r="K255" s="19"/>
      <c r="L255" s="12"/>
      <c r="M255" s="11" t="str">
        <f aca="false">IF(L255="","",IFERROR(INDEX(Prioridade_SLA!$B$2:$B$5,MATCH(L255,Prioridade_SLA!$A$2:$A$5,0)),""))</f>
        <v/>
      </c>
      <c r="N255" s="16" t="str">
        <f aca="false">IF(OR(B255="",M255=""),"",B255+M255/24)</f>
        <v/>
      </c>
      <c r="O255" s="12"/>
      <c r="P255" s="12"/>
      <c r="Q255" s="18"/>
      <c r="R255" s="17" t="str">
        <f aca="false">IF(OR(B255="",Q255=""),"",(Q255-B255)*24)</f>
        <v/>
      </c>
      <c r="S255" s="11" t="str">
        <f aca="false">IF(OR(N255="",Q255=""),"",IF(Q255&lt;=N255,"Sim","Não"))</f>
        <v/>
      </c>
      <c r="T255" s="19"/>
      <c r="U255" s="12"/>
      <c r="V255" s="12"/>
    </row>
    <row r="256" customFormat="false" ht="15" hidden="false" customHeight="false" outlineLevel="0" collapsed="false">
      <c r="A256" s="12"/>
      <c r="B256" s="18"/>
      <c r="C256" s="12"/>
      <c r="D256" s="11" t="str">
        <f aca="false">IF(C256="","",IFERROR(INDEX(Unidades!$B$2:$B$218,MATCH(C256,Unidades!$A$2:$A$218,0)),"Código não encontrado"))</f>
        <v/>
      </c>
      <c r="E256" s="11" t="str">
        <f aca="false">IF(C256="","",IFERROR(INDEX(Unidades!$C$2:$C$218,MATCH(C256,Unidades!$A$2:$A$218,0)),""))</f>
        <v/>
      </c>
      <c r="F256" s="12"/>
      <c r="G256" s="12"/>
      <c r="H256" s="12"/>
      <c r="I256" s="12"/>
      <c r="J256" s="12"/>
      <c r="K256" s="19"/>
      <c r="L256" s="12"/>
      <c r="M256" s="11" t="str">
        <f aca="false">IF(L256="","",IFERROR(INDEX(Prioridade_SLA!$B$2:$B$5,MATCH(L256,Prioridade_SLA!$A$2:$A$5,0)),""))</f>
        <v/>
      </c>
      <c r="N256" s="16" t="str">
        <f aca="false">IF(OR(B256="",M256=""),"",B256+M256/24)</f>
        <v/>
      </c>
      <c r="O256" s="12"/>
      <c r="P256" s="12"/>
      <c r="Q256" s="18"/>
      <c r="R256" s="17" t="str">
        <f aca="false">IF(OR(B256="",Q256=""),"",(Q256-B256)*24)</f>
        <v/>
      </c>
      <c r="S256" s="11" t="str">
        <f aca="false">IF(OR(N256="",Q256=""),"",IF(Q256&lt;=N256,"Sim","Não"))</f>
        <v/>
      </c>
      <c r="T256" s="19"/>
      <c r="U256" s="12"/>
      <c r="V256" s="12"/>
    </row>
    <row r="257" customFormat="false" ht="15" hidden="false" customHeight="false" outlineLevel="0" collapsed="false">
      <c r="A257" s="12"/>
      <c r="B257" s="18"/>
      <c r="C257" s="12"/>
      <c r="D257" s="11" t="str">
        <f aca="false">IF(C257="","",IFERROR(INDEX(Unidades!$B$2:$B$218,MATCH(C257,Unidades!$A$2:$A$218,0)),"Código não encontrado"))</f>
        <v/>
      </c>
      <c r="E257" s="11" t="str">
        <f aca="false">IF(C257="","",IFERROR(INDEX(Unidades!$C$2:$C$218,MATCH(C257,Unidades!$A$2:$A$218,0)),""))</f>
        <v/>
      </c>
      <c r="F257" s="12"/>
      <c r="G257" s="12"/>
      <c r="H257" s="12"/>
      <c r="I257" s="12"/>
      <c r="J257" s="12"/>
      <c r="K257" s="19"/>
      <c r="L257" s="12"/>
      <c r="M257" s="11" t="str">
        <f aca="false">IF(L257="","",IFERROR(INDEX(Prioridade_SLA!$B$2:$B$5,MATCH(L257,Prioridade_SLA!$A$2:$A$5,0)),""))</f>
        <v/>
      </c>
      <c r="N257" s="16" t="str">
        <f aca="false">IF(OR(B257="",M257=""),"",B257+M257/24)</f>
        <v/>
      </c>
      <c r="O257" s="12"/>
      <c r="P257" s="12"/>
      <c r="Q257" s="18"/>
      <c r="R257" s="17" t="str">
        <f aca="false">IF(OR(B257="",Q257=""),"",(Q257-B257)*24)</f>
        <v/>
      </c>
      <c r="S257" s="11" t="str">
        <f aca="false">IF(OR(N257="",Q257=""),"",IF(Q257&lt;=N257,"Sim","Não"))</f>
        <v/>
      </c>
      <c r="T257" s="19"/>
      <c r="U257" s="12"/>
      <c r="V257" s="12"/>
    </row>
    <row r="258" customFormat="false" ht="15" hidden="false" customHeight="false" outlineLevel="0" collapsed="false">
      <c r="A258" s="12"/>
      <c r="B258" s="18"/>
      <c r="C258" s="12"/>
      <c r="D258" s="11" t="str">
        <f aca="false">IF(C258="","",IFERROR(INDEX(Unidades!$B$2:$B$218,MATCH(C258,Unidades!$A$2:$A$218,0)),"Código não encontrado"))</f>
        <v/>
      </c>
      <c r="E258" s="11" t="str">
        <f aca="false">IF(C258="","",IFERROR(INDEX(Unidades!$C$2:$C$218,MATCH(C258,Unidades!$A$2:$A$218,0)),""))</f>
        <v/>
      </c>
      <c r="F258" s="12"/>
      <c r="G258" s="12"/>
      <c r="H258" s="12"/>
      <c r="I258" s="12"/>
      <c r="J258" s="12"/>
      <c r="K258" s="19"/>
      <c r="L258" s="12"/>
      <c r="M258" s="11" t="str">
        <f aca="false">IF(L258="","",IFERROR(INDEX(Prioridade_SLA!$B$2:$B$5,MATCH(L258,Prioridade_SLA!$A$2:$A$5,0)),""))</f>
        <v/>
      </c>
      <c r="N258" s="16" t="str">
        <f aca="false">IF(OR(B258="",M258=""),"",B258+M258/24)</f>
        <v/>
      </c>
      <c r="O258" s="12"/>
      <c r="P258" s="12"/>
      <c r="Q258" s="18"/>
      <c r="R258" s="17" t="str">
        <f aca="false">IF(OR(B258="",Q258=""),"",(Q258-B258)*24)</f>
        <v/>
      </c>
      <c r="S258" s="11" t="str">
        <f aca="false">IF(OR(N258="",Q258=""),"",IF(Q258&lt;=N258,"Sim","Não"))</f>
        <v/>
      </c>
      <c r="T258" s="19"/>
      <c r="U258" s="12"/>
      <c r="V258" s="12"/>
    </row>
    <row r="259" customFormat="false" ht="15" hidden="false" customHeight="false" outlineLevel="0" collapsed="false">
      <c r="A259" s="12"/>
      <c r="B259" s="18"/>
      <c r="C259" s="12"/>
      <c r="D259" s="11" t="str">
        <f aca="false">IF(C259="","",IFERROR(INDEX(Unidades!$B$2:$B$218,MATCH(C259,Unidades!$A$2:$A$218,0)),"Código não encontrado"))</f>
        <v/>
      </c>
      <c r="E259" s="11" t="str">
        <f aca="false">IF(C259="","",IFERROR(INDEX(Unidades!$C$2:$C$218,MATCH(C259,Unidades!$A$2:$A$218,0)),""))</f>
        <v/>
      </c>
      <c r="F259" s="12"/>
      <c r="G259" s="12"/>
      <c r="H259" s="12"/>
      <c r="I259" s="12"/>
      <c r="J259" s="12"/>
      <c r="K259" s="19"/>
      <c r="L259" s="12"/>
      <c r="M259" s="11" t="str">
        <f aca="false">IF(L259="","",IFERROR(INDEX(Prioridade_SLA!$B$2:$B$5,MATCH(L259,Prioridade_SLA!$A$2:$A$5,0)),""))</f>
        <v/>
      </c>
      <c r="N259" s="16" t="str">
        <f aca="false">IF(OR(B259="",M259=""),"",B259+M259/24)</f>
        <v/>
      </c>
      <c r="O259" s="12"/>
      <c r="P259" s="12"/>
      <c r="Q259" s="18"/>
      <c r="R259" s="17" t="str">
        <f aca="false">IF(OR(B259="",Q259=""),"",(Q259-B259)*24)</f>
        <v/>
      </c>
      <c r="S259" s="11" t="str">
        <f aca="false">IF(OR(N259="",Q259=""),"",IF(Q259&lt;=N259,"Sim","Não"))</f>
        <v/>
      </c>
      <c r="T259" s="19"/>
      <c r="U259" s="12"/>
      <c r="V259" s="12"/>
    </row>
    <row r="260" customFormat="false" ht="15" hidden="false" customHeight="false" outlineLevel="0" collapsed="false">
      <c r="A260" s="12"/>
      <c r="B260" s="18"/>
      <c r="C260" s="12"/>
      <c r="D260" s="11" t="str">
        <f aca="false">IF(C260="","",IFERROR(INDEX(Unidades!$B$2:$B$218,MATCH(C260,Unidades!$A$2:$A$218,0)),"Código não encontrado"))</f>
        <v/>
      </c>
      <c r="E260" s="11" t="str">
        <f aca="false">IF(C260="","",IFERROR(INDEX(Unidades!$C$2:$C$218,MATCH(C260,Unidades!$A$2:$A$218,0)),""))</f>
        <v/>
      </c>
      <c r="F260" s="12"/>
      <c r="G260" s="12"/>
      <c r="H260" s="12"/>
      <c r="I260" s="12"/>
      <c r="J260" s="12"/>
      <c r="K260" s="19"/>
      <c r="L260" s="12"/>
      <c r="M260" s="11" t="str">
        <f aca="false">IF(L260="","",IFERROR(INDEX(Prioridade_SLA!$B$2:$B$5,MATCH(L260,Prioridade_SLA!$A$2:$A$5,0)),""))</f>
        <v/>
      </c>
      <c r="N260" s="16" t="str">
        <f aca="false">IF(OR(B260="",M260=""),"",B260+M260/24)</f>
        <v/>
      </c>
      <c r="O260" s="12"/>
      <c r="P260" s="12"/>
      <c r="Q260" s="18"/>
      <c r="R260" s="17" t="str">
        <f aca="false">IF(OR(B260="",Q260=""),"",(Q260-B260)*24)</f>
        <v/>
      </c>
      <c r="S260" s="11" t="str">
        <f aca="false">IF(OR(N260="",Q260=""),"",IF(Q260&lt;=N260,"Sim","Não"))</f>
        <v/>
      </c>
      <c r="T260" s="19"/>
      <c r="U260" s="12"/>
      <c r="V260" s="12"/>
    </row>
    <row r="261" customFormat="false" ht="15" hidden="false" customHeight="false" outlineLevel="0" collapsed="false">
      <c r="A261" s="12"/>
      <c r="B261" s="18"/>
      <c r="C261" s="12"/>
      <c r="D261" s="11" t="str">
        <f aca="false">IF(C261="","",IFERROR(INDEX(Unidades!$B$2:$B$218,MATCH(C261,Unidades!$A$2:$A$218,0)),"Código não encontrado"))</f>
        <v/>
      </c>
      <c r="E261" s="11" t="str">
        <f aca="false">IF(C261="","",IFERROR(INDEX(Unidades!$C$2:$C$218,MATCH(C261,Unidades!$A$2:$A$218,0)),""))</f>
        <v/>
      </c>
      <c r="F261" s="12"/>
      <c r="G261" s="12"/>
      <c r="H261" s="12"/>
      <c r="I261" s="12"/>
      <c r="J261" s="12"/>
      <c r="K261" s="19"/>
      <c r="L261" s="12"/>
      <c r="M261" s="11" t="str">
        <f aca="false">IF(L261="","",IFERROR(INDEX(Prioridade_SLA!$B$2:$B$5,MATCH(L261,Prioridade_SLA!$A$2:$A$5,0)),""))</f>
        <v/>
      </c>
      <c r="N261" s="16" t="str">
        <f aca="false">IF(OR(B261="",M261=""),"",B261+M261/24)</f>
        <v/>
      </c>
      <c r="O261" s="12"/>
      <c r="P261" s="12"/>
      <c r="Q261" s="18"/>
      <c r="R261" s="17" t="str">
        <f aca="false">IF(OR(B261="",Q261=""),"",(Q261-B261)*24)</f>
        <v/>
      </c>
      <c r="S261" s="11" t="str">
        <f aca="false">IF(OR(N261="",Q261=""),"",IF(Q261&lt;=N261,"Sim","Não"))</f>
        <v/>
      </c>
      <c r="T261" s="19"/>
      <c r="U261" s="12"/>
      <c r="V261" s="12"/>
    </row>
    <row r="262" customFormat="false" ht="15" hidden="false" customHeight="false" outlineLevel="0" collapsed="false">
      <c r="A262" s="12"/>
      <c r="B262" s="18"/>
      <c r="C262" s="12"/>
      <c r="D262" s="11" t="str">
        <f aca="false">IF(C262="","",IFERROR(INDEX(Unidades!$B$2:$B$218,MATCH(C262,Unidades!$A$2:$A$218,0)),"Código não encontrado"))</f>
        <v/>
      </c>
      <c r="E262" s="11" t="str">
        <f aca="false">IF(C262="","",IFERROR(INDEX(Unidades!$C$2:$C$218,MATCH(C262,Unidades!$A$2:$A$218,0)),""))</f>
        <v/>
      </c>
      <c r="F262" s="12"/>
      <c r="G262" s="12"/>
      <c r="H262" s="12"/>
      <c r="I262" s="12"/>
      <c r="J262" s="12"/>
      <c r="K262" s="19"/>
      <c r="L262" s="12"/>
      <c r="M262" s="11" t="str">
        <f aca="false">IF(L262="","",IFERROR(INDEX(Prioridade_SLA!$B$2:$B$5,MATCH(L262,Prioridade_SLA!$A$2:$A$5,0)),""))</f>
        <v/>
      </c>
      <c r="N262" s="16" t="str">
        <f aca="false">IF(OR(B262="",M262=""),"",B262+M262/24)</f>
        <v/>
      </c>
      <c r="O262" s="12"/>
      <c r="P262" s="12"/>
      <c r="Q262" s="18"/>
      <c r="R262" s="17" t="str">
        <f aca="false">IF(OR(B262="",Q262=""),"",(Q262-B262)*24)</f>
        <v/>
      </c>
      <c r="S262" s="11" t="str">
        <f aca="false">IF(OR(N262="",Q262=""),"",IF(Q262&lt;=N262,"Sim","Não"))</f>
        <v/>
      </c>
      <c r="T262" s="19"/>
      <c r="U262" s="12"/>
      <c r="V262" s="12"/>
    </row>
    <row r="263" customFormat="false" ht="15" hidden="false" customHeight="false" outlineLevel="0" collapsed="false">
      <c r="A263" s="12"/>
      <c r="B263" s="18"/>
      <c r="C263" s="12"/>
      <c r="D263" s="11" t="str">
        <f aca="false">IF(C263="","",IFERROR(INDEX(Unidades!$B$2:$B$218,MATCH(C263,Unidades!$A$2:$A$218,0)),"Código não encontrado"))</f>
        <v/>
      </c>
      <c r="E263" s="11" t="str">
        <f aca="false">IF(C263="","",IFERROR(INDEX(Unidades!$C$2:$C$218,MATCH(C263,Unidades!$A$2:$A$218,0)),""))</f>
        <v/>
      </c>
      <c r="F263" s="12"/>
      <c r="G263" s="12"/>
      <c r="H263" s="12"/>
      <c r="I263" s="12"/>
      <c r="J263" s="12"/>
      <c r="K263" s="19"/>
      <c r="L263" s="12"/>
      <c r="M263" s="11" t="str">
        <f aca="false">IF(L263="","",IFERROR(INDEX(Prioridade_SLA!$B$2:$B$5,MATCH(L263,Prioridade_SLA!$A$2:$A$5,0)),""))</f>
        <v/>
      </c>
      <c r="N263" s="16" t="str">
        <f aca="false">IF(OR(B263="",M263=""),"",B263+M263/24)</f>
        <v/>
      </c>
      <c r="O263" s="12"/>
      <c r="P263" s="12"/>
      <c r="Q263" s="18"/>
      <c r="R263" s="17" t="str">
        <f aca="false">IF(OR(B263="",Q263=""),"",(Q263-B263)*24)</f>
        <v/>
      </c>
      <c r="S263" s="11" t="str">
        <f aca="false">IF(OR(N263="",Q263=""),"",IF(Q263&lt;=N263,"Sim","Não"))</f>
        <v/>
      </c>
      <c r="T263" s="19"/>
      <c r="U263" s="12"/>
      <c r="V263" s="12"/>
    </row>
    <row r="264" customFormat="false" ht="15" hidden="false" customHeight="false" outlineLevel="0" collapsed="false">
      <c r="A264" s="12"/>
      <c r="B264" s="18"/>
      <c r="C264" s="12"/>
      <c r="D264" s="11" t="str">
        <f aca="false">IF(C264="","",IFERROR(INDEX(Unidades!$B$2:$B$218,MATCH(C264,Unidades!$A$2:$A$218,0)),"Código não encontrado"))</f>
        <v/>
      </c>
      <c r="E264" s="11" t="str">
        <f aca="false">IF(C264="","",IFERROR(INDEX(Unidades!$C$2:$C$218,MATCH(C264,Unidades!$A$2:$A$218,0)),""))</f>
        <v/>
      </c>
      <c r="F264" s="12"/>
      <c r="G264" s="12"/>
      <c r="H264" s="12"/>
      <c r="I264" s="12"/>
      <c r="J264" s="12"/>
      <c r="K264" s="19"/>
      <c r="L264" s="12"/>
      <c r="M264" s="11" t="str">
        <f aca="false">IF(L264="","",IFERROR(INDEX(Prioridade_SLA!$B$2:$B$5,MATCH(L264,Prioridade_SLA!$A$2:$A$5,0)),""))</f>
        <v/>
      </c>
      <c r="N264" s="16" t="str">
        <f aca="false">IF(OR(B264="",M264=""),"",B264+M264/24)</f>
        <v/>
      </c>
      <c r="O264" s="12"/>
      <c r="P264" s="12"/>
      <c r="Q264" s="18"/>
      <c r="R264" s="17" t="str">
        <f aca="false">IF(OR(B264="",Q264=""),"",(Q264-B264)*24)</f>
        <v/>
      </c>
      <c r="S264" s="11" t="str">
        <f aca="false">IF(OR(N264="",Q264=""),"",IF(Q264&lt;=N264,"Sim","Não"))</f>
        <v/>
      </c>
      <c r="T264" s="19"/>
      <c r="U264" s="12"/>
      <c r="V264" s="12"/>
    </row>
    <row r="265" customFormat="false" ht="15" hidden="false" customHeight="false" outlineLevel="0" collapsed="false">
      <c r="A265" s="12"/>
      <c r="B265" s="18"/>
      <c r="C265" s="12"/>
      <c r="D265" s="11" t="str">
        <f aca="false">IF(C265="","",IFERROR(INDEX(Unidades!$B$2:$B$218,MATCH(C265,Unidades!$A$2:$A$218,0)),"Código não encontrado"))</f>
        <v/>
      </c>
      <c r="E265" s="11" t="str">
        <f aca="false">IF(C265="","",IFERROR(INDEX(Unidades!$C$2:$C$218,MATCH(C265,Unidades!$A$2:$A$218,0)),""))</f>
        <v/>
      </c>
      <c r="F265" s="12"/>
      <c r="G265" s="12"/>
      <c r="H265" s="12"/>
      <c r="I265" s="12"/>
      <c r="J265" s="12"/>
      <c r="K265" s="19"/>
      <c r="L265" s="12"/>
      <c r="M265" s="11" t="str">
        <f aca="false">IF(L265="","",IFERROR(INDEX(Prioridade_SLA!$B$2:$B$5,MATCH(L265,Prioridade_SLA!$A$2:$A$5,0)),""))</f>
        <v/>
      </c>
      <c r="N265" s="16" t="str">
        <f aca="false">IF(OR(B265="",M265=""),"",B265+M265/24)</f>
        <v/>
      </c>
      <c r="O265" s="12"/>
      <c r="P265" s="12"/>
      <c r="Q265" s="18"/>
      <c r="R265" s="17" t="str">
        <f aca="false">IF(OR(B265="",Q265=""),"",(Q265-B265)*24)</f>
        <v/>
      </c>
      <c r="S265" s="11" t="str">
        <f aca="false">IF(OR(N265="",Q265=""),"",IF(Q265&lt;=N265,"Sim","Não"))</f>
        <v/>
      </c>
      <c r="T265" s="19"/>
      <c r="U265" s="12"/>
      <c r="V265" s="12"/>
    </row>
    <row r="266" customFormat="false" ht="15" hidden="false" customHeight="false" outlineLevel="0" collapsed="false">
      <c r="A266" s="12"/>
      <c r="B266" s="18"/>
      <c r="C266" s="12"/>
      <c r="D266" s="11" t="str">
        <f aca="false">IF(C266="","",IFERROR(INDEX(Unidades!$B$2:$B$218,MATCH(C266,Unidades!$A$2:$A$218,0)),"Código não encontrado"))</f>
        <v/>
      </c>
      <c r="E266" s="11" t="str">
        <f aca="false">IF(C266="","",IFERROR(INDEX(Unidades!$C$2:$C$218,MATCH(C266,Unidades!$A$2:$A$218,0)),""))</f>
        <v/>
      </c>
      <c r="F266" s="12"/>
      <c r="G266" s="12"/>
      <c r="H266" s="12"/>
      <c r="I266" s="12"/>
      <c r="J266" s="12"/>
      <c r="K266" s="19"/>
      <c r="L266" s="12"/>
      <c r="M266" s="11" t="str">
        <f aca="false">IF(L266="","",IFERROR(INDEX(Prioridade_SLA!$B$2:$B$5,MATCH(L266,Prioridade_SLA!$A$2:$A$5,0)),""))</f>
        <v/>
      </c>
      <c r="N266" s="16" t="str">
        <f aca="false">IF(OR(B266="",M266=""),"",B266+M266/24)</f>
        <v/>
      </c>
      <c r="O266" s="12"/>
      <c r="P266" s="12"/>
      <c r="Q266" s="18"/>
      <c r="R266" s="17" t="str">
        <f aca="false">IF(OR(B266="",Q266=""),"",(Q266-B266)*24)</f>
        <v/>
      </c>
      <c r="S266" s="11" t="str">
        <f aca="false">IF(OR(N266="",Q266=""),"",IF(Q266&lt;=N266,"Sim","Não"))</f>
        <v/>
      </c>
      <c r="T266" s="19"/>
      <c r="U266" s="12"/>
      <c r="V266" s="12"/>
    </row>
    <row r="267" customFormat="false" ht="15" hidden="false" customHeight="false" outlineLevel="0" collapsed="false">
      <c r="A267" s="12"/>
      <c r="B267" s="18"/>
      <c r="C267" s="12"/>
      <c r="D267" s="11" t="str">
        <f aca="false">IF(C267="","",IFERROR(INDEX(Unidades!$B$2:$B$218,MATCH(C267,Unidades!$A$2:$A$218,0)),"Código não encontrado"))</f>
        <v/>
      </c>
      <c r="E267" s="11" t="str">
        <f aca="false">IF(C267="","",IFERROR(INDEX(Unidades!$C$2:$C$218,MATCH(C267,Unidades!$A$2:$A$218,0)),""))</f>
        <v/>
      </c>
      <c r="F267" s="12"/>
      <c r="G267" s="12"/>
      <c r="H267" s="12"/>
      <c r="I267" s="12"/>
      <c r="J267" s="12"/>
      <c r="K267" s="19"/>
      <c r="L267" s="12"/>
      <c r="M267" s="11" t="str">
        <f aca="false">IF(L267="","",IFERROR(INDEX(Prioridade_SLA!$B$2:$B$5,MATCH(L267,Prioridade_SLA!$A$2:$A$5,0)),""))</f>
        <v/>
      </c>
      <c r="N267" s="16" t="str">
        <f aca="false">IF(OR(B267="",M267=""),"",B267+M267/24)</f>
        <v/>
      </c>
      <c r="O267" s="12"/>
      <c r="P267" s="12"/>
      <c r="Q267" s="18"/>
      <c r="R267" s="17" t="str">
        <f aca="false">IF(OR(B267="",Q267=""),"",(Q267-B267)*24)</f>
        <v/>
      </c>
      <c r="S267" s="11" t="str">
        <f aca="false">IF(OR(N267="",Q267=""),"",IF(Q267&lt;=N267,"Sim","Não"))</f>
        <v/>
      </c>
      <c r="T267" s="19"/>
      <c r="U267" s="12"/>
      <c r="V267" s="12"/>
    </row>
    <row r="268" customFormat="false" ht="15" hidden="false" customHeight="false" outlineLevel="0" collapsed="false">
      <c r="A268" s="12"/>
      <c r="B268" s="18"/>
      <c r="C268" s="12"/>
      <c r="D268" s="11" t="str">
        <f aca="false">IF(C268="","",IFERROR(INDEX(Unidades!$B$2:$B$218,MATCH(C268,Unidades!$A$2:$A$218,0)),"Código não encontrado"))</f>
        <v/>
      </c>
      <c r="E268" s="11" t="str">
        <f aca="false">IF(C268="","",IFERROR(INDEX(Unidades!$C$2:$C$218,MATCH(C268,Unidades!$A$2:$A$218,0)),""))</f>
        <v/>
      </c>
      <c r="F268" s="12"/>
      <c r="G268" s="12"/>
      <c r="H268" s="12"/>
      <c r="I268" s="12"/>
      <c r="J268" s="12"/>
      <c r="K268" s="19"/>
      <c r="L268" s="12"/>
      <c r="M268" s="11" t="str">
        <f aca="false">IF(L268="","",IFERROR(INDEX(Prioridade_SLA!$B$2:$B$5,MATCH(L268,Prioridade_SLA!$A$2:$A$5,0)),""))</f>
        <v/>
      </c>
      <c r="N268" s="16" t="str">
        <f aca="false">IF(OR(B268="",M268=""),"",B268+M268/24)</f>
        <v/>
      </c>
      <c r="O268" s="12"/>
      <c r="P268" s="12"/>
      <c r="Q268" s="18"/>
      <c r="R268" s="17" t="str">
        <f aca="false">IF(OR(B268="",Q268=""),"",(Q268-B268)*24)</f>
        <v/>
      </c>
      <c r="S268" s="11" t="str">
        <f aca="false">IF(OR(N268="",Q268=""),"",IF(Q268&lt;=N268,"Sim","Não"))</f>
        <v/>
      </c>
      <c r="T268" s="19"/>
      <c r="U268" s="12"/>
      <c r="V268" s="12"/>
    </row>
    <row r="269" customFormat="false" ht="15" hidden="false" customHeight="false" outlineLevel="0" collapsed="false">
      <c r="A269" s="12"/>
      <c r="B269" s="18"/>
      <c r="C269" s="12"/>
      <c r="D269" s="11" t="str">
        <f aca="false">IF(C269="","",IFERROR(INDEX(Unidades!$B$2:$B$218,MATCH(C269,Unidades!$A$2:$A$218,0)),"Código não encontrado"))</f>
        <v/>
      </c>
      <c r="E269" s="11" t="str">
        <f aca="false">IF(C269="","",IFERROR(INDEX(Unidades!$C$2:$C$218,MATCH(C269,Unidades!$A$2:$A$218,0)),""))</f>
        <v/>
      </c>
      <c r="F269" s="12"/>
      <c r="G269" s="12"/>
      <c r="H269" s="12"/>
      <c r="I269" s="12"/>
      <c r="J269" s="12"/>
      <c r="K269" s="19"/>
      <c r="L269" s="12"/>
      <c r="M269" s="11" t="str">
        <f aca="false">IF(L269="","",IFERROR(INDEX(Prioridade_SLA!$B$2:$B$5,MATCH(L269,Prioridade_SLA!$A$2:$A$5,0)),""))</f>
        <v/>
      </c>
      <c r="N269" s="16" t="str">
        <f aca="false">IF(OR(B269="",M269=""),"",B269+M269/24)</f>
        <v/>
      </c>
      <c r="O269" s="12"/>
      <c r="P269" s="12"/>
      <c r="Q269" s="18"/>
      <c r="R269" s="17" t="str">
        <f aca="false">IF(OR(B269="",Q269=""),"",(Q269-B269)*24)</f>
        <v/>
      </c>
      <c r="S269" s="11" t="str">
        <f aca="false">IF(OR(N269="",Q269=""),"",IF(Q269&lt;=N269,"Sim","Não"))</f>
        <v/>
      </c>
      <c r="T269" s="19"/>
      <c r="U269" s="12"/>
      <c r="V269" s="12"/>
    </row>
    <row r="270" customFormat="false" ht="15" hidden="false" customHeight="false" outlineLevel="0" collapsed="false">
      <c r="A270" s="12"/>
      <c r="B270" s="18"/>
      <c r="C270" s="12"/>
      <c r="D270" s="11" t="str">
        <f aca="false">IF(C270="","",IFERROR(INDEX(Unidades!$B$2:$B$218,MATCH(C270,Unidades!$A$2:$A$218,0)),"Código não encontrado"))</f>
        <v/>
      </c>
      <c r="E270" s="11" t="str">
        <f aca="false">IF(C270="","",IFERROR(INDEX(Unidades!$C$2:$C$218,MATCH(C270,Unidades!$A$2:$A$218,0)),""))</f>
        <v/>
      </c>
      <c r="F270" s="12"/>
      <c r="G270" s="12"/>
      <c r="H270" s="12"/>
      <c r="I270" s="12"/>
      <c r="J270" s="12"/>
      <c r="K270" s="19"/>
      <c r="L270" s="12"/>
      <c r="M270" s="11" t="str">
        <f aca="false">IF(L270="","",IFERROR(INDEX(Prioridade_SLA!$B$2:$B$5,MATCH(L270,Prioridade_SLA!$A$2:$A$5,0)),""))</f>
        <v/>
      </c>
      <c r="N270" s="16" t="str">
        <f aca="false">IF(OR(B270="",M270=""),"",B270+M270/24)</f>
        <v/>
      </c>
      <c r="O270" s="12"/>
      <c r="P270" s="12"/>
      <c r="Q270" s="18"/>
      <c r="R270" s="17" t="str">
        <f aca="false">IF(OR(B270="",Q270=""),"",(Q270-B270)*24)</f>
        <v/>
      </c>
      <c r="S270" s="11" t="str">
        <f aca="false">IF(OR(N270="",Q270=""),"",IF(Q270&lt;=N270,"Sim","Não"))</f>
        <v/>
      </c>
      <c r="T270" s="19"/>
      <c r="U270" s="12"/>
      <c r="V270" s="12"/>
    </row>
    <row r="271" customFormat="false" ht="15" hidden="false" customHeight="false" outlineLevel="0" collapsed="false">
      <c r="A271" s="12"/>
      <c r="B271" s="18"/>
      <c r="C271" s="12"/>
      <c r="D271" s="11" t="str">
        <f aca="false">IF(C271="","",IFERROR(INDEX(Unidades!$B$2:$B$218,MATCH(C271,Unidades!$A$2:$A$218,0)),"Código não encontrado"))</f>
        <v/>
      </c>
      <c r="E271" s="11" t="str">
        <f aca="false">IF(C271="","",IFERROR(INDEX(Unidades!$C$2:$C$218,MATCH(C271,Unidades!$A$2:$A$218,0)),""))</f>
        <v/>
      </c>
      <c r="F271" s="12"/>
      <c r="G271" s="12"/>
      <c r="H271" s="12"/>
      <c r="I271" s="12"/>
      <c r="J271" s="12"/>
      <c r="K271" s="19"/>
      <c r="L271" s="12"/>
      <c r="M271" s="11" t="str">
        <f aca="false">IF(L271="","",IFERROR(INDEX(Prioridade_SLA!$B$2:$B$5,MATCH(L271,Prioridade_SLA!$A$2:$A$5,0)),""))</f>
        <v/>
      </c>
      <c r="N271" s="16" t="str">
        <f aca="false">IF(OR(B271="",M271=""),"",B271+M271/24)</f>
        <v/>
      </c>
      <c r="O271" s="12"/>
      <c r="P271" s="12"/>
      <c r="Q271" s="18"/>
      <c r="R271" s="17" t="str">
        <f aca="false">IF(OR(B271="",Q271=""),"",(Q271-B271)*24)</f>
        <v/>
      </c>
      <c r="S271" s="11" t="str">
        <f aca="false">IF(OR(N271="",Q271=""),"",IF(Q271&lt;=N271,"Sim","Não"))</f>
        <v/>
      </c>
      <c r="T271" s="19"/>
      <c r="U271" s="12"/>
      <c r="V271" s="12"/>
    </row>
    <row r="272" customFormat="false" ht="15" hidden="false" customHeight="false" outlineLevel="0" collapsed="false">
      <c r="A272" s="12"/>
      <c r="B272" s="18"/>
      <c r="C272" s="12"/>
      <c r="D272" s="11" t="str">
        <f aca="false">IF(C272="","",IFERROR(INDEX(Unidades!$B$2:$B$218,MATCH(C272,Unidades!$A$2:$A$218,0)),"Código não encontrado"))</f>
        <v/>
      </c>
      <c r="E272" s="11" t="str">
        <f aca="false">IF(C272="","",IFERROR(INDEX(Unidades!$C$2:$C$218,MATCH(C272,Unidades!$A$2:$A$218,0)),""))</f>
        <v/>
      </c>
      <c r="F272" s="12"/>
      <c r="G272" s="12"/>
      <c r="H272" s="12"/>
      <c r="I272" s="12"/>
      <c r="J272" s="12"/>
      <c r="K272" s="19"/>
      <c r="L272" s="12"/>
      <c r="M272" s="11" t="str">
        <f aca="false">IF(L272="","",IFERROR(INDEX(Prioridade_SLA!$B$2:$B$5,MATCH(L272,Prioridade_SLA!$A$2:$A$5,0)),""))</f>
        <v/>
      </c>
      <c r="N272" s="16" t="str">
        <f aca="false">IF(OR(B272="",M272=""),"",B272+M272/24)</f>
        <v/>
      </c>
      <c r="O272" s="12"/>
      <c r="P272" s="12"/>
      <c r="Q272" s="18"/>
      <c r="R272" s="17" t="str">
        <f aca="false">IF(OR(B272="",Q272=""),"",(Q272-B272)*24)</f>
        <v/>
      </c>
      <c r="S272" s="11" t="str">
        <f aca="false">IF(OR(N272="",Q272=""),"",IF(Q272&lt;=N272,"Sim","Não"))</f>
        <v/>
      </c>
      <c r="T272" s="19"/>
      <c r="U272" s="12"/>
      <c r="V272" s="12"/>
    </row>
    <row r="273" customFormat="false" ht="15" hidden="false" customHeight="false" outlineLevel="0" collapsed="false">
      <c r="A273" s="12"/>
      <c r="B273" s="18"/>
      <c r="C273" s="12"/>
      <c r="D273" s="11" t="str">
        <f aca="false">IF(C273="","",IFERROR(INDEX(Unidades!$B$2:$B$218,MATCH(C273,Unidades!$A$2:$A$218,0)),"Código não encontrado"))</f>
        <v/>
      </c>
      <c r="E273" s="11" t="str">
        <f aca="false">IF(C273="","",IFERROR(INDEX(Unidades!$C$2:$C$218,MATCH(C273,Unidades!$A$2:$A$218,0)),""))</f>
        <v/>
      </c>
      <c r="F273" s="12"/>
      <c r="G273" s="12"/>
      <c r="H273" s="12"/>
      <c r="I273" s="12"/>
      <c r="J273" s="12"/>
      <c r="K273" s="19"/>
      <c r="L273" s="12"/>
      <c r="M273" s="11" t="str">
        <f aca="false">IF(L273="","",IFERROR(INDEX(Prioridade_SLA!$B$2:$B$5,MATCH(L273,Prioridade_SLA!$A$2:$A$5,0)),""))</f>
        <v/>
      </c>
      <c r="N273" s="16" t="str">
        <f aca="false">IF(OR(B273="",M273=""),"",B273+M273/24)</f>
        <v/>
      </c>
      <c r="O273" s="12"/>
      <c r="P273" s="12"/>
      <c r="Q273" s="18"/>
      <c r="R273" s="17" t="str">
        <f aca="false">IF(OR(B273="",Q273=""),"",(Q273-B273)*24)</f>
        <v/>
      </c>
      <c r="S273" s="11" t="str">
        <f aca="false">IF(OR(N273="",Q273=""),"",IF(Q273&lt;=N273,"Sim","Não"))</f>
        <v/>
      </c>
      <c r="T273" s="19"/>
      <c r="U273" s="12"/>
      <c r="V273" s="12"/>
    </row>
    <row r="274" customFormat="false" ht="15" hidden="false" customHeight="false" outlineLevel="0" collapsed="false">
      <c r="A274" s="12"/>
      <c r="B274" s="18"/>
      <c r="C274" s="12"/>
      <c r="D274" s="11" t="str">
        <f aca="false">IF(C274="","",IFERROR(INDEX(Unidades!$B$2:$B$218,MATCH(C274,Unidades!$A$2:$A$218,0)),"Código não encontrado"))</f>
        <v/>
      </c>
      <c r="E274" s="11" t="str">
        <f aca="false">IF(C274="","",IFERROR(INDEX(Unidades!$C$2:$C$218,MATCH(C274,Unidades!$A$2:$A$218,0)),""))</f>
        <v/>
      </c>
      <c r="F274" s="12"/>
      <c r="G274" s="12"/>
      <c r="H274" s="12"/>
      <c r="I274" s="12"/>
      <c r="J274" s="12"/>
      <c r="K274" s="19"/>
      <c r="L274" s="12"/>
      <c r="M274" s="11" t="str">
        <f aca="false">IF(L274="","",IFERROR(INDEX(Prioridade_SLA!$B$2:$B$5,MATCH(L274,Prioridade_SLA!$A$2:$A$5,0)),""))</f>
        <v/>
      </c>
      <c r="N274" s="16" t="str">
        <f aca="false">IF(OR(B274="",M274=""),"",B274+M274/24)</f>
        <v/>
      </c>
      <c r="O274" s="12"/>
      <c r="P274" s="12"/>
      <c r="Q274" s="18"/>
      <c r="R274" s="17" t="str">
        <f aca="false">IF(OR(B274="",Q274=""),"",(Q274-B274)*24)</f>
        <v/>
      </c>
      <c r="S274" s="11" t="str">
        <f aca="false">IF(OR(N274="",Q274=""),"",IF(Q274&lt;=N274,"Sim","Não"))</f>
        <v/>
      </c>
      <c r="T274" s="19"/>
      <c r="U274" s="12"/>
      <c r="V274" s="12"/>
    </row>
    <row r="275" customFormat="false" ht="15" hidden="false" customHeight="false" outlineLevel="0" collapsed="false">
      <c r="A275" s="12"/>
      <c r="B275" s="18"/>
      <c r="C275" s="12"/>
      <c r="D275" s="11" t="str">
        <f aca="false">IF(C275="","",IFERROR(INDEX(Unidades!$B$2:$B$218,MATCH(C275,Unidades!$A$2:$A$218,0)),"Código não encontrado"))</f>
        <v/>
      </c>
      <c r="E275" s="11" t="str">
        <f aca="false">IF(C275="","",IFERROR(INDEX(Unidades!$C$2:$C$218,MATCH(C275,Unidades!$A$2:$A$218,0)),""))</f>
        <v/>
      </c>
      <c r="F275" s="12"/>
      <c r="G275" s="12"/>
      <c r="H275" s="12"/>
      <c r="I275" s="12"/>
      <c r="J275" s="12"/>
      <c r="K275" s="19"/>
      <c r="L275" s="12"/>
      <c r="M275" s="11" t="str">
        <f aca="false">IF(L275="","",IFERROR(INDEX(Prioridade_SLA!$B$2:$B$5,MATCH(L275,Prioridade_SLA!$A$2:$A$5,0)),""))</f>
        <v/>
      </c>
      <c r="N275" s="16" t="str">
        <f aca="false">IF(OR(B275="",M275=""),"",B275+M275/24)</f>
        <v/>
      </c>
      <c r="O275" s="12"/>
      <c r="P275" s="12"/>
      <c r="Q275" s="18"/>
      <c r="R275" s="17" t="str">
        <f aca="false">IF(OR(B275="",Q275=""),"",(Q275-B275)*24)</f>
        <v/>
      </c>
      <c r="S275" s="11" t="str">
        <f aca="false">IF(OR(N275="",Q275=""),"",IF(Q275&lt;=N275,"Sim","Não"))</f>
        <v/>
      </c>
      <c r="T275" s="19"/>
      <c r="U275" s="12"/>
      <c r="V275" s="12"/>
    </row>
    <row r="276" customFormat="false" ht="15" hidden="false" customHeight="false" outlineLevel="0" collapsed="false">
      <c r="A276" s="12"/>
      <c r="B276" s="18"/>
      <c r="C276" s="12"/>
      <c r="D276" s="11" t="str">
        <f aca="false">IF(C276="","",IFERROR(INDEX(Unidades!$B$2:$B$218,MATCH(C276,Unidades!$A$2:$A$218,0)),"Código não encontrado"))</f>
        <v/>
      </c>
      <c r="E276" s="11" t="str">
        <f aca="false">IF(C276="","",IFERROR(INDEX(Unidades!$C$2:$C$218,MATCH(C276,Unidades!$A$2:$A$218,0)),""))</f>
        <v/>
      </c>
      <c r="F276" s="12"/>
      <c r="G276" s="12"/>
      <c r="H276" s="12"/>
      <c r="I276" s="12"/>
      <c r="J276" s="12"/>
      <c r="K276" s="19"/>
      <c r="L276" s="12"/>
      <c r="M276" s="11" t="str">
        <f aca="false">IF(L276="","",IFERROR(INDEX(Prioridade_SLA!$B$2:$B$5,MATCH(L276,Prioridade_SLA!$A$2:$A$5,0)),""))</f>
        <v/>
      </c>
      <c r="N276" s="16" t="str">
        <f aca="false">IF(OR(B276="",M276=""),"",B276+M276/24)</f>
        <v/>
      </c>
      <c r="O276" s="12"/>
      <c r="P276" s="12"/>
      <c r="Q276" s="18"/>
      <c r="R276" s="17" t="str">
        <f aca="false">IF(OR(B276="",Q276=""),"",(Q276-B276)*24)</f>
        <v/>
      </c>
      <c r="S276" s="11" t="str">
        <f aca="false">IF(OR(N276="",Q276=""),"",IF(Q276&lt;=N276,"Sim","Não"))</f>
        <v/>
      </c>
      <c r="T276" s="19"/>
      <c r="U276" s="12"/>
      <c r="V276" s="12"/>
    </row>
    <row r="277" customFormat="false" ht="15" hidden="false" customHeight="false" outlineLevel="0" collapsed="false">
      <c r="A277" s="12"/>
      <c r="B277" s="18"/>
      <c r="C277" s="12"/>
      <c r="D277" s="11" t="str">
        <f aca="false">IF(C277="","",IFERROR(INDEX(Unidades!$B$2:$B$218,MATCH(C277,Unidades!$A$2:$A$218,0)),"Código não encontrado"))</f>
        <v/>
      </c>
      <c r="E277" s="11" t="str">
        <f aca="false">IF(C277="","",IFERROR(INDEX(Unidades!$C$2:$C$218,MATCH(C277,Unidades!$A$2:$A$218,0)),""))</f>
        <v/>
      </c>
      <c r="F277" s="12"/>
      <c r="G277" s="12"/>
      <c r="H277" s="12"/>
      <c r="I277" s="12"/>
      <c r="J277" s="12"/>
      <c r="K277" s="19"/>
      <c r="L277" s="12"/>
      <c r="M277" s="11" t="str">
        <f aca="false">IF(L277="","",IFERROR(INDEX(Prioridade_SLA!$B$2:$B$5,MATCH(L277,Prioridade_SLA!$A$2:$A$5,0)),""))</f>
        <v/>
      </c>
      <c r="N277" s="16" t="str">
        <f aca="false">IF(OR(B277="",M277=""),"",B277+M277/24)</f>
        <v/>
      </c>
      <c r="O277" s="12"/>
      <c r="P277" s="12"/>
      <c r="Q277" s="18"/>
      <c r="R277" s="17" t="str">
        <f aca="false">IF(OR(B277="",Q277=""),"",(Q277-B277)*24)</f>
        <v/>
      </c>
      <c r="S277" s="11" t="str">
        <f aca="false">IF(OR(N277="",Q277=""),"",IF(Q277&lt;=N277,"Sim","Não"))</f>
        <v/>
      </c>
      <c r="T277" s="19"/>
      <c r="U277" s="12"/>
      <c r="V277" s="12"/>
    </row>
    <row r="278" customFormat="false" ht="15" hidden="false" customHeight="false" outlineLevel="0" collapsed="false">
      <c r="A278" s="12"/>
      <c r="B278" s="18"/>
      <c r="C278" s="12"/>
      <c r="D278" s="11" t="str">
        <f aca="false">IF(C278="","",IFERROR(INDEX(Unidades!$B$2:$B$218,MATCH(C278,Unidades!$A$2:$A$218,0)),"Código não encontrado"))</f>
        <v/>
      </c>
      <c r="E278" s="11" t="str">
        <f aca="false">IF(C278="","",IFERROR(INDEX(Unidades!$C$2:$C$218,MATCH(C278,Unidades!$A$2:$A$218,0)),""))</f>
        <v/>
      </c>
      <c r="F278" s="12"/>
      <c r="G278" s="12"/>
      <c r="H278" s="12"/>
      <c r="I278" s="12"/>
      <c r="J278" s="12"/>
      <c r="K278" s="19"/>
      <c r="L278" s="12"/>
      <c r="M278" s="11" t="str">
        <f aca="false">IF(L278="","",IFERROR(INDEX(Prioridade_SLA!$B$2:$B$5,MATCH(L278,Prioridade_SLA!$A$2:$A$5,0)),""))</f>
        <v/>
      </c>
      <c r="N278" s="16" t="str">
        <f aca="false">IF(OR(B278="",M278=""),"",B278+M278/24)</f>
        <v/>
      </c>
      <c r="O278" s="12"/>
      <c r="P278" s="12"/>
      <c r="Q278" s="18"/>
      <c r="R278" s="17" t="str">
        <f aca="false">IF(OR(B278="",Q278=""),"",(Q278-B278)*24)</f>
        <v/>
      </c>
      <c r="S278" s="11" t="str">
        <f aca="false">IF(OR(N278="",Q278=""),"",IF(Q278&lt;=N278,"Sim","Não"))</f>
        <v/>
      </c>
      <c r="T278" s="19"/>
      <c r="U278" s="12"/>
      <c r="V278" s="12"/>
    </row>
    <row r="279" customFormat="false" ht="15" hidden="false" customHeight="false" outlineLevel="0" collapsed="false">
      <c r="A279" s="12"/>
      <c r="B279" s="18"/>
      <c r="C279" s="12"/>
      <c r="D279" s="11" t="str">
        <f aca="false">IF(C279="","",IFERROR(INDEX(Unidades!$B$2:$B$218,MATCH(C279,Unidades!$A$2:$A$218,0)),"Código não encontrado"))</f>
        <v/>
      </c>
      <c r="E279" s="11" t="str">
        <f aca="false">IF(C279="","",IFERROR(INDEX(Unidades!$C$2:$C$218,MATCH(C279,Unidades!$A$2:$A$218,0)),""))</f>
        <v/>
      </c>
      <c r="F279" s="12"/>
      <c r="G279" s="12"/>
      <c r="H279" s="12"/>
      <c r="I279" s="12"/>
      <c r="J279" s="12"/>
      <c r="K279" s="19"/>
      <c r="L279" s="12"/>
      <c r="M279" s="11" t="str">
        <f aca="false">IF(L279="","",IFERROR(INDEX(Prioridade_SLA!$B$2:$B$5,MATCH(L279,Prioridade_SLA!$A$2:$A$5,0)),""))</f>
        <v/>
      </c>
      <c r="N279" s="16" t="str">
        <f aca="false">IF(OR(B279="",M279=""),"",B279+M279/24)</f>
        <v/>
      </c>
      <c r="O279" s="12"/>
      <c r="P279" s="12"/>
      <c r="Q279" s="18"/>
      <c r="R279" s="17" t="str">
        <f aca="false">IF(OR(B279="",Q279=""),"",(Q279-B279)*24)</f>
        <v/>
      </c>
      <c r="S279" s="11" t="str">
        <f aca="false">IF(OR(N279="",Q279=""),"",IF(Q279&lt;=N279,"Sim","Não"))</f>
        <v/>
      </c>
      <c r="T279" s="19"/>
      <c r="U279" s="12"/>
      <c r="V279" s="12"/>
    </row>
    <row r="280" customFormat="false" ht="15" hidden="false" customHeight="false" outlineLevel="0" collapsed="false">
      <c r="A280" s="12"/>
      <c r="B280" s="18"/>
      <c r="C280" s="12"/>
      <c r="D280" s="11" t="str">
        <f aca="false">IF(C280="","",IFERROR(INDEX(Unidades!$B$2:$B$218,MATCH(C280,Unidades!$A$2:$A$218,0)),"Código não encontrado"))</f>
        <v/>
      </c>
      <c r="E280" s="11" t="str">
        <f aca="false">IF(C280="","",IFERROR(INDEX(Unidades!$C$2:$C$218,MATCH(C280,Unidades!$A$2:$A$218,0)),""))</f>
        <v/>
      </c>
      <c r="F280" s="12"/>
      <c r="G280" s="12"/>
      <c r="H280" s="12"/>
      <c r="I280" s="12"/>
      <c r="J280" s="12"/>
      <c r="K280" s="19"/>
      <c r="L280" s="12"/>
      <c r="M280" s="11" t="str">
        <f aca="false">IF(L280="","",IFERROR(INDEX(Prioridade_SLA!$B$2:$B$5,MATCH(L280,Prioridade_SLA!$A$2:$A$5,0)),""))</f>
        <v/>
      </c>
      <c r="N280" s="16" t="str">
        <f aca="false">IF(OR(B280="",M280=""),"",B280+M280/24)</f>
        <v/>
      </c>
      <c r="O280" s="12"/>
      <c r="P280" s="12"/>
      <c r="Q280" s="18"/>
      <c r="R280" s="17" t="str">
        <f aca="false">IF(OR(B280="",Q280=""),"",(Q280-B280)*24)</f>
        <v/>
      </c>
      <c r="S280" s="11" t="str">
        <f aca="false">IF(OR(N280="",Q280=""),"",IF(Q280&lt;=N280,"Sim","Não"))</f>
        <v/>
      </c>
      <c r="T280" s="19"/>
      <c r="U280" s="12"/>
      <c r="V280" s="12"/>
    </row>
    <row r="281" customFormat="false" ht="15" hidden="false" customHeight="false" outlineLevel="0" collapsed="false">
      <c r="A281" s="12"/>
      <c r="B281" s="18"/>
      <c r="C281" s="12"/>
      <c r="D281" s="11" t="str">
        <f aca="false">IF(C281="","",IFERROR(INDEX(Unidades!$B$2:$B$218,MATCH(C281,Unidades!$A$2:$A$218,0)),"Código não encontrado"))</f>
        <v/>
      </c>
      <c r="E281" s="11" t="str">
        <f aca="false">IF(C281="","",IFERROR(INDEX(Unidades!$C$2:$C$218,MATCH(C281,Unidades!$A$2:$A$218,0)),""))</f>
        <v/>
      </c>
      <c r="F281" s="12"/>
      <c r="G281" s="12"/>
      <c r="H281" s="12"/>
      <c r="I281" s="12"/>
      <c r="J281" s="12"/>
      <c r="K281" s="19"/>
      <c r="L281" s="12"/>
      <c r="M281" s="11" t="str">
        <f aca="false">IF(L281="","",IFERROR(INDEX(Prioridade_SLA!$B$2:$B$5,MATCH(L281,Prioridade_SLA!$A$2:$A$5,0)),""))</f>
        <v/>
      </c>
      <c r="N281" s="16" t="str">
        <f aca="false">IF(OR(B281="",M281=""),"",B281+M281/24)</f>
        <v/>
      </c>
      <c r="O281" s="12"/>
      <c r="P281" s="12"/>
      <c r="Q281" s="18"/>
      <c r="R281" s="17" t="str">
        <f aca="false">IF(OR(B281="",Q281=""),"",(Q281-B281)*24)</f>
        <v/>
      </c>
      <c r="S281" s="11" t="str">
        <f aca="false">IF(OR(N281="",Q281=""),"",IF(Q281&lt;=N281,"Sim","Não"))</f>
        <v/>
      </c>
      <c r="T281" s="19"/>
      <c r="U281" s="12"/>
      <c r="V281" s="12"/>
    </row>
    <row r="282" customFormat="false" ht="15" hidden="false" customHeight="false" outlineLevel="0" collapsed="false">
      <c r="A282" s="12"/>
      <c r="B282" s="18"/>
      <c r="C282" s="12"/>
      <c r="D282" s="11" t="str">
        <f aca="false">IF(C282="","",IFERROR(INDEX(Unidades!$B$2:$B$218,MATCH(C282,Unidades!$A$2:$A$218,0)),"Código não encontrado"))</f>
        <v/>
      </c>
      <c r="E282" s="11" t="str">
        <f aca="false">IF(C282="","",IFERROR(INDEX(Unidades!$C$2:$C$218,MATCH(C282,Unidades!$A$2:$A$218,0)),""))</f>
        <v/>
      </c>
      <c r="F282" s="12"/>
      <c r="G282" s="12"/>
      <c r="H282" s="12"/>
      <c r="I282" s="12"/>
      <c r="J282" s="12"/>
      <c r="K282" s="19"/>
      <c r="L282" s="12"/>
      <c r="M282" s="11" t="str">
        <f aca="false">IF(L282="","",IFERROR(INDEX(Prioridade_SLA!$B$2:$B$5,MATCH(L282,Prioridade_SLA!$A$2:$A$5,0)),""))</f>
        <v/>
      </c>
      <c r="N282" s="16" t="str">
        <f aca="false">IF(OR(B282="",M282=""),"",B282+M282/24)</f>
        <v/>
      </c>
      <c r="O282" s="12"/>
      <c r="P282" s="12"/>
      <c r="Q282" s="18"/>
      <c r="R282" s="17" t="str">
        <f aca="false">IF(OR(B282="",Q282=""),"",(Q282-B282)*24)</f>
        <v/>
      </c>
      <c r="S282" s="11" t="str">
        <f aca="false">IF(OR(N282="",Q282=""),"",IF(Q282&lt;=N282,"Sim","Não"))</f>
        <v/>
      </c>
      <c r="T282" s="19"/>
      <c r="U282" s="12"/>
      <c r="V282" s="12"/>
    </row>
    <row r="283" customFormat="false" ht="15" hidden="false" customHeight="false" outlineLevel="0" collapsed="false">
      <c r="A283" s="12"/>
      <c r="B283" s="18"/>
      <c r="C283" s="12"/>
      <c r="D283" s="11" t="str">
        <f aca="false">IF(C283="","",IFERROR(INDEX(Unidades!$B$2:$B$218,MATCH(C283,Unidades!$A$2:$A$218,0)),"Código não encontrado"))</f>
        <v/>
      </c>
      <c r="E283" s="11" t="str">
        <f aca="false">IF(C283="","",IFERROR(INDEX(Unidades!$C$2:$C$218,MATCH(C283,Unidades!$A$2:$A$218,0)),""))</f>
        <v/>
      </c>
      <c r="F283" s="12"/>
      <c r="G283" s="12"/>
      <c r="H283" s="12"/>
      <c r="I283" s="12"/>
      <c r="J283" s="12"/>
      <c r="K283" s="19"/>
      <c r="L283" s="12"/>
      <c r="M283" s="11" t="str">
        <f aca="false">IF(L283="","",IFERROR(INDEX(Prioridade_SLA!$B$2:$B$5,MATCH(L283,Prioridade_SLA!$A$2:$A$5,0)),""))</f>
        <v/>
      </c>
      <c r="N283" s="16" t="str">
        <f aca="false">IF(OR(B283="",M283=""),"",B283+M283/24)</f>
        <v/>
      </c>
      <c r="O283" s="12"/>
      <c r="P283" s="12"/>
      <c r="Q283" s="18"/>
      <c r="R283" s="17" t="str">
        <f aca="false">IF(OR(B283="",Q283=""),"",(Q283-B283)*24)</f>
        <v/>
      </c>
      <c r="S283" s="11" t="str">
        <f aca="false">IF(OR(N283="",Q283=""),"",IF(Q283&lt;=N283,"Sim","Não"))</f>
        <v/>
      </c>
      <c r="T283" s="19"/>
      <c r="U283" s="12"/>
      <c r="V283" s="12"/>
    </row>
    <row r="284" customFormat="false" ht="15" hidden="false" customHeight="false" outlineLevel="0" collapsed="false">
      <c r="A284" s="12"/>
      <c r="B284" s="18"/>
      <c r="C284" s="12"/>
      <c r="D284" s="11" t="str">
        <f aca="false">IF(C284="","",IFERROR(INDEX(Unidades!$B$2:$B$218,MATCH(C284,Unidades!$A$2:$A$218,0)),"Código não encontrado"))</f>
        <v/>
      </c>
      <c r="E284" s="11" t="str">
        <f aca="false">IF(C284="","",IFERROR(INDEX(Unidades!$C$2:$C$218,MATCH(C284,Unidades!$A$2:$A$218,0)),""))</f>
        <v/>
      </c>
      <c r="F284" s="12"/>
      <c r="G284" s="12"/>
      <c r="H284" s="12"/>
      <c r="I284" s="12"/>
      <c r="J284" s="12"/>
      <c r="K284" s="19"/>
      <c r="L284" s="12"/>
      <c r="M284" s="11" t="str">
        <f aca="false">IF(L284="","",IFERROR(INDEX(Prioridade_SLA!$B$2:$B$5,MATCH(L284,Prioridade_SLA!$A$2:$A$5,0)),""))</f>
        <v/>
      </c>
      <c r="N284" s="16" t="str">
        <f aca="false">IF(OR(B284="",M284=""),"",B284+M284/24)</f>
        <v/>
      </c>
      <c r="O284" s="12"/>
      <c r="P284" s="12"/>
      <c r="Q284" s="18"/>
      <c r="R284" s="17" t="str">
        <f aca="false">IF(OR(B284="",Q284=""),"",(Q284-B284)*24)</f>
        <v/>
      </c>
      <c r="S284" s="11" t="str">
        <f aca="false">IF(OR(N284="",Q284=""),"",IF(Q284&lt;=N284,"Sim","Não"))</f>
        <v/>
      </c>
      <c r="T284" s="19"/>
      <c r="U284" s="12"/>
      <c r="V284" s="12"/>
    </row>
    <row r="285" customFormat="false" ht="15" hidden="false" customHeight="false" outlineLevel="0" collapsed="false">
      <c r="A285" s="12"/>
      <c r="B285" s="18"/>
      <c r="C285" s="12"/>
      <c r="D285" s="11" t="str">
        <f aca="false">IF(C285="","",IFERROR(INDEX(Unidades!$B$2:$B$218,MATCH(C285,Unidades!$A$2:$A$218,0)),"Código não encontrado"))</f>
        <v/>
      </c>
      <c r="E285" s="11" t="str">
        <f aca="false">IF(C285="","",IFERROR(INDEX(Unidades!$C$2:$C$218,MATCH(C285,Unidades!$A$2:$A$218,0)),""))</f>
        <v/>
      </c>
      <c r="F285" s="12"/>
      <c r="G285" s="12"/>
      <c r="H285" s="12"/>
      <c r="I285" s="12"/>
      <c r="J285" s="12"/>
      <c r="K285" s="19"/>
      <c r="L285" s="12"/>
      <c r="M285" s="11" t="str">
        <f aca="false">IF(L285="","",IFERROR(INDEX(Prioridade_SLA!$B$2:$B$5,MATCH(L285,Prioridade_SLA!$A$2:$A$5,0)),""))</f>
        <v/>
      </c>
      <c r="N285" s="16" t="str">
        <f aca="false">IF(OR(B285="",M285=""),"",B285+M285/24)</f>
        <v/>
      </c>
      <c r="O285" s="12"/>
      <c r="P285" s="12"/>
      <c r="Q285" s="18"/>
      <c r="R285" s="17" t="str">
        <f aca="false">IF(OR(B285="",Q285=""),"",(Q285-B285)*24)</f>
        <v/>
      </c>
      <c r="S285" s="11" t="str">
        <f aca="false">IF(OR(N285="",Q285=""),"",IF(Q285&lt;=N285,"Sim","Não"))</f>
        <v/>
      </c>
      <c r="T285" s="19"/>
      <c r="U285" s="12"/>
      <c r="V285" s="12"/>
    </row>
    <row r="286" customFormat="false" ht="15" hidden="false" customHeight="false" outlineLevel="0" collapsed="false">
      <c r="A286" s="12"/>
      <c r="B286" s="18"/>
      <c r="C286" s="12"/>
      <c r="D286" s="11" t="str">
        <f aca="false">IF(C286="","",IFERROR(INDEX(Unidades!$B$2:$B$218,MATCH(C286,Unidades!$A$2:$A$218,0)),"Código não encontrado"))</f>
        <v/>
      </c>
      <c r="E286" s="11" t="str">
        <f aca="false">IF(C286="","",IFERROR(INDEX(Unidades!$C$2:$C$218,MATCH(C286,Unidades!$A$2:$A$218,0)),""))</f>
        <v/>
      </c>
      <c r="F286" s="12"/>
      <c r="G286" s="12"/>
      <c r="H286" s="12"/>
      <c r="I286" s="12"/>
      <c r="J286" s="12"/>
      <c r="K286" s="19"/>
      <c r="L286" s="12"/>
      <c r="M286" s="11" t="str">
        <f aca="false">IF(L286="","",IFERROR(INDEX(Prioridade_SLA!$B$2:$B$5,MATCH(L286,Prioridade_SLA!$A$2:$A$5,0)),""))</f>
        <v/>
      </c>
      <c r="N286" s="16" t="str">
        <f aca="false">IF(OR(B286="",M286=""),"",B286+M286/24)</f>
        <v/>
      </c>
      <c r="O286" s="12"/>
      <c r="P286" s="12"/>
      <c r="Q286" s="18"/>
      <c r="R286" s="17" t="str">
        <f aca="false">IF(OR(B286="",Q286=""),"",(Q286-B286)*24)</f>
        <v/>
      </c>
      <c r="S286" s="11" t="str">
        <f aca="false">IF(OR(N286="",Q286=""),"",IF(Q286&lt;=N286,"Sim","Não"))</f>
        <v/>
      </c>
      <c r="T286" s="19"/>
      <c r="U286" s="12"/>
      <c r="V286" s="12"/>
    </row>
    <row r="287" customFormat="false" ht="15" hidden="false" customHeight="false" outlineLevel="0" collapsed="false">
      <c r="A287" s="12"/>
      <c r="B287" s="18"/>
      <c r="C287" s="12"/>
      <c r="D287" s="11" t="str">
        <f aca="false">IF(C287="","",IFERROR(INDEX(Unidades!$B$2:$B$218,MATCH(C287,Unidades!$A$2:$A$218,0)),"Código não encontrado"))</f>
        <v/>
      </c>
      <c r="E287" s="11" t="str">
        <f aca="false">IF(C287="","",IFERROR(INDEX(Unidades!$C$2:$C$218,MATCH(C287,Unidades!$A$2:$A$218,0)),""))</f>
        <v/>
      </c>
      <c r="F287" s="12"/>
      <c r="G287" s="12"/>
      <c r="H287" s="12"/>
      <c r="I287" s="12"/>
      <c r="J287" s="12"/>
      <c r="K287" s="19"/>
      <c r="L287" s="12"/>
      <c r="M287" s="11" t="str">
        <f aca="false">IF(L287="","",IFERROR(INDEX(Prioridade_SLA!$B$2:$B$5,MATCH(L287,Prioridade_SLA!$A$2:$A$5,0)),""))</f>
        <v/>
      </c>
      <c r="N287" s="16" t="str">
        <f aca="false">IF(OR(B287="",M287=""),"",B287+M287/24)</f>
        <v/>
      </c>
      <c r="O287" s="12"/>
      <c r="P287" s="12"/>
      <c r="Q287" s="18"/>
      <c r="R287" s="17" t="str">
        <f aca="false">IF(OR(B287="",Q287=""),"",(Q287-B287)*24)</f>
        <v/>
      </c>
      <c r="S287" s="11" t="str">
        <f aca="false">IF(OR(N287="",Q287=""),"",IF(Q287&lt;=N287,"Sim","Não"))</f>
        <v/>
      </c>
      <c r="T287" s="19"/>
      <c r="U287" s="12"/>
      <c r="V287" s="12"/>
    </row>
    <row r="288" customFormat="false" ht="15" hidden="false" customHeight="false" outlineLevel="0" collapsed="false">
      <c r="A288" s="12"/>
      <c r="B288" s="18"/>
      <c r="C288" s="12"/>
      <c r="D288" s="11" t="str">
        <f aca="false">IF(C288="","",IFERROR(INDEX(Unidades!$B$2:$B$218,MATCH(C288,Unidades!$A$2:$A$218,0)),"Código não encontrado"))</f>
        <v/>
      </c>
      <c r="E288" s="11" t="str">
        <f aca="false">IF(C288="","",IFERROR(INDEX(Unidades!$C$2:$C$218,MATCH(C288,Unidades!$A$2:$A$218,0)),""))</f>
        <v/>
      </c>
      <c r="F288" s="12"/>
      <c r="G288" s="12"/>
      <c r="H288" s="12"/>
      <c r="I288" s="12"/>
      <c r="J288" s="12"/>
      <c r="K288" s="19"/>
      <c r="L288" s="12"/>
      <c r="M288" s="11" t="str">
        <f aca="false">IF(L288="","",IFERROR(INDEX(Prioridade_SLA!$B$2:$B$5,MATCH(L288,Prioridade_SLA!$A$2:$A$5,0)),""))</f>
        <v/>
      </c>
      <c r="N288" s="16" t="str">
        <f aca="false">IF(OR(B288="",M288=""),"",B288+M288/24)</f>
        <v/>
      </c>
      <c r="O288" s="12"/>
      <c r="P288" s="12"/>
      <c r="Q288" s="18"/>
      <c r="R288" s="17" t="str">
        <f aca="false">IF(OR(B288="",Q288=""),"",(Q288-B288)*24)</f>
        <v/>
      </c>
      <c r="S288" s="11" t="str">
        <f aca="false">IF(OR(N288="",Q288=""),"",IF(Q288&lt;=N288,"Sim","Não"))</f>
        <v/>
      </c>
      <c r="T288" s="19"/>
      <c r="U288" s="12"/>
      <c r="V288" s="12"/>
    </row>
    <row r="289" customFormat="false" ht="15" hidden="false" customHeight="false" outlineLevel="0" collapsed="false">
      <c r="A289" s="12"/>
      <c r="B289" s="18"/>
      <c r="C289" s="12"/>
      <c r="D289" s="11" t="str">
        <f aca="false">IF(C289="","",IFERROR(INDEX(Unidades!$B$2:$B$218,MATCH(C289,Unidades!$A$2:$A$218,0)),"Código não encontrado"))</f>
        <v/>
      </c>
      <c r="E289" s="11" t="str">
        <f aca="false">IF(C289="","",IFERROR(INDEX(Unidades!$C$2:$C$218,MATCH(C289,Unidades!$A$2:$A$218,0)),""))</f>
        <v/>
      </c>
      <c r="F289" s="12"/>
      <c r="G289" s="12"/>
      <c r="H289" s="12"/>
      <c r="I289" s="12"/>
      <c r="J289" s="12"/>
      <c r="K289" s="19"/>
      <c r="L289" s="12"/>
      <c r="M289" s="11" t="str">
        <f aca="false">IF(L289="","",IFERROR(INDEX(Prioridade_SLA!$B$2:$B$5,MATCH(L289,Prioridade_SLA!$A$2:$A$5,0)),""))</f>
        <v/>
      </c>
      <c r="N289" s="16" t="str">
        <f aca="false">IF(OR(B289="",M289=""),"",B289+M289/24)</f>
        <v/>
      </c>
      <c r="O289" s="12"/>
      <c r="P289" s="12"/>
      <c r="Q289" s="18"/>
      <c r="R289" s="17" t="str">
        <f aca="false">IF(OR(B289="",Q289=""),"",(Q289-B289)*24)</f>
        <v/>
      </c>
      <c r="S289" s="11" t="str">
        <f aca="false">IF(OR(N289="",Q289=""),"",IF(Q289&lt;=N289,"Sim","Não"))</f>
        <v/>
      </c>
      <c r="T289" s="19"/>
      <c r="U289" s="12"/>
      <c r="V289" s="12"/>
    </row>
    <row r="290" customFormat="false" ht="15" hidden="false" customHeight="false" outlineLevel="0" collapsed="false">
      <c r="A290" s="12"/>
      <c r="B290" s="18"/>
      <c r="C290" s="12"/>
      <c r="D290" s="11" t="str">
        <f aca="false">IF(C290="","",IFERROR(INDEX(Unidades!$B$2:$B$218,MATCH(C290,Unidades!$A$2:$A$218,0)),"Código não encontrado"))</f>
        <v/>
      </c>
      <c r="E290" s="11" t="str">
        <f aca="false">IF(C290="","",IFERROR(INDEX(Unidades!$C$2:$C$218,MATCH(C290,Unidades!$A$2:$A$218,0)),""))</f>
        <v/>
      </c>
      <c r="F290" s="12"/>
      <c r="G290" s="12"/>
      <c r="H290" s="12"/>
      <c r="I290" s="12"/>
      <c r="J290" s="12"/>
      <c r="K290" s="19"/>
      <c r="L290" s="12"/>
      <c r="M290" s="11" t="str">
        <f aca="false">IF(L290="","",IFERROR(INDEX(Prioridade_SLA!$B$2:$B$5,MATCH(L290,Prioridade_SLA!$A$2:$A$5,0)),""))</f>
        <v/>
      </c>
      <c r="N290" s="16" t="str">
        <f aca="false">IF(OR(B290="",M290=""),"",B290+M290/24)</f>
        <v/>
      </c>
      <c r="O290" s="12"/>
      <c r="P290" s="12"/>
      <c r="Q290" s="18"/>
      <c r="R290" s="17" t="str">
        <f aca="false">IF(OR(B290="",Q290=""),"",(Q290-B290)*24)</f>
        <v/>
      </c>
      <c r="S290" s="11" t="str">
        <f aca="false">IF(OR(N290="",Q290=""),"",IF(Q290&lt;=N290,"Sim","Não"))</f>
        <v/>
      </c>
      <c r="T290" s="19"/>
      <c r="U290" s="12"/>
      <c r="V290" s="12"/>
    </row>
    <row r="291" customFormat="false" ht="15" hidden="false" customHeight="false" outlineLevel="0" collapsed="false">
      <c r="A291" s="12"/>
      <c r="B291" s="18"/>
      <c r="C291" s="12"/>
      <c r="D291" s="11" t="str">
        <f aca="false">IF(C291="","",IFERROR(INDEX(Unidades!$B$2:$B$218,MATCH(C291,Unidades!$A$2:$A$218,0)),"Código não encontrado"))</f>
        <v/>
      </c>
      <c r="E291" s="11" t="str">
        <f aca="false">IF(C291="","",IFERROR(INDEX(Unidades!$C$2:$C$218,MATCH(C291,Unidades!$A$2:$A$218,0)),""))</f>
        <v/>
      </c>
      <c r="F291" s="12"/>
      <c r="G291" s="12"/>
      <c r="H291" s="12"/>
      <c r="I291" s="12"/>
      <c r="J291" s="12"/>
      <c r="K291" s="19"/>
      <c r="L291" s="12"/>
      <c r="M291" s="11" t="str">
        <f aca="false">IF(L291="","",IFERROR(INDEX(Prioridade_SLA!$B$2:$B$5,MATCH(L291,Prioridade_SLA!$A$2:$A$5,0)),""))</f>
        <v/>
      </c>
      <c r="N291" s="16" t="str">
        <f aca="false">IF(OR(B291="",M291=""),"",B291+M291/24)</f>
        <v/>
      </c>
      <c r="O291" s="12"/>
      <c r="P291" s="12"/>
      <c r="Q291" s="18"/>
      <c r="R291" s="17" t="str">
        <f aca="false">IF(OR(B291="",Q291=""),"",(Q291-B291)*24)</f>
        <v/>
      </c>
      <c r="S291" s="11" t="str">
        <f aca="false">IF(OR(N291="",Q291=""),"",IF(Q291&lt;=N291,"Sim","Não"))</f>
        <v/>
      </c>
      <c r="T291" s="19"/>
      <c r="U291" s="12"/>
      <c r="V291" s="12"/>
    </row>
    <row r="292" customFormat="false" ht="15" hidden="false" customHeight="false" outlineLevel="0" collapsed="false">
      <c r="A292" s="12"/>
      <c r="B292" s="18"/>
      <c r="C292" s="12"/>
      <c r="D292" s="11" t="str">
        <f aca="false">IF(C292="","",IFERROR(INDEX(Unidades!$B$2:$B$218,MATCH(C292,Unidades!$A$2:$A$218,0)),"Código não encontrado"))</f>
        <v/>
      </c>
      <c r="E292" s="11" t="str">
        <f aca="false">IF(C292="","",IFERROR(INDEX(Unidades!$C$2:$C$218,MATCH(C292,Unidades!$A$2:$A$218,0)),""))</f>
        <v/>
      </c>
      <c r="F292" s="12"/>
      <c r="G292" s="12"/>
      <c r="H292" s="12"/>
      <c r="I292" s="12"/>
      <c r="J292" s="12"/>
      <c r="K292" s="19"/>
      <c r="L292" s="12"/>
      <c r="M292" s="11" t="str">
        <f aca="false">IF(L292="","",IFERROR(INDEX(Prioridade_SLA!$B$2:$B$5,MATCH(L292,Prioridade_SLA!$A$2:$A$5,0)),""))</f>
        <v/>
      </c>
      <c r="N292" s="16" t="str">
        <f aca="false">IF(OR(B292="",M292=""),"",B292+M292/24)</f>
        <v/>
      </c>
      <c r="O292" s="12"/>
      <c r="P292" s="12"/>
      <c r="Q292" s="18"/>
      <c r="R292" s="17" t="str">
        <f aca="false">IF(OR(B292="",Q292=""),"",(Q292-B292)*24)</f>
        <v/>
      </c>
      <c r="S292" s="11" t="str">
        <f aca="false">IF(OR(N292="",Q292=""),"",IF(Q292&lt;=N292,"Sim","Não"))</f>
        <v/>
      </c>
      <c r="T292" s="19"/>
      <c r="U292" s="12"/>
      <c r="V292" s="12"/>
    </row>
    <row r="293" customFormat="false" ht="15" hidden="false" customHeight="false" outlineLevel="0" collapsed="false">
      <c r="A293" s="12"/>
      <c r="B293" s="18"/>
      <c r="C293" s="12"/>
      <c r="D293" s="11" t="str">
        <f aca="false">IF(C293="","",IFERROR(INDEX(Unidades!$B$2:$B$218,MATCH(C293,Unidades!$A$2:$A$218,0)),"Código não encontrado"))</f>
        <v/>
      </c>
      <c r="E293" s="11" t="str">
        <f aca="false">IF(C293="","",IFERROR(INDEX(Unidades!$C$2:$C$218,MATCH(C293,Unidades!$A$2:$A$218,0)),""))</f>
        <v/>
      </c>
      <c r="F293" s="12"/>
      <c r="G293" s="12"/>
      <c r="H293" s="12"/>
      <c r="I293" s="12"/>
      <c r="J293" s="12"/>
      <c r="K293" s="19"/>
      <c r="L293" s="12"/>
      <c r="M293" s="11" t="str">
        <f aca="false">IF(L293="","",IFERROR(INDEX(Prioridade_SLA!$B$2:$B$5,MATCH(L293,Prioridade_SLA!$A$2:$A$5,0)),""))</f>
        <v/>
      </c>
      <c r="N293" s="16" t="str">
        <f aca="false">IF(OR(B293="",M293=""),"",B293+M293/24)</f>
        <v/>
      </c>
      <c r="O293" s="12"/>
      <c r="P293" s="12"/>
      <c r="Q293" s="18"/>
      <c r="R293" s="17" t="str">
        <f aca="false">IF(OR(B293="",Q293=""),"",(Q293-B293)*24)</f>
        <v/>
      </c>
      <c r="S293" s="11" t="str">
        <f aca="false">IF(OR(N293="",Q293=""),"",IF(Q293&lt;=N293,"Sim","Não"))</f>
        <v/>
      </c>
      <c r="T293" s="19"/>
      <c r="U293" s="12"/>
      <c r="V293" s="12"/>
    </row>
    <row r="294" customFormat="false" ht="15" hidden="false" customHeight="false" outlineLevel="0" collapsed="false">
      <c r="A294" s="12"/>
      <c r="B294" s="18"/>
      <c r="C294" s="12"/>
      <c r="D294" s="11" t="str">
        <f aca="false">IF(C294="","",IFERROR(INDEX(Unidades!$B$2:$B$218,MATCH(C294,Unidades!$A$2:$A$218,0)),"Código não encontrado"))</f>
        <v/>
      </c>
      <c r="E294" s="11" t="str">
        <f aca="false">IF(C294="","",IFERROR(INDEX(Unidades!$C$2:$C$218,MATCH(C294,Unidades!$A$2:$A$218,0)),""))</f>
        <v/>
      </c>
      <c r="F294" s="12"/>
      <c r="G294" s="12"/>
      <c r="H294" s="12"/>
      <c r="I294" s="12"/>
      <c r="J294" s="12"/>
      <c r="K294" s="19"/>
      <c r="L294" s="12"/>
      <c r="M294" s="11" t="str">
        <f aca="false">IF(L294="","",IFERROR(INDEX(Prioridade_SLA!$B$2:$B$5,MATCH(L294,Prioridade_SLA!$A$2:$A$5,0)),""))</f>
        <v/>
      </c>
      <c r="N294" s="16" t="str">
        <f aca="false">IF(OR(B294="",M294=""),"",B294+M294/24)</f>
        <v/>
      </c>
      <c r="O294" s="12"/>
      <c r="P294" s="12"/>
      <c r="Q294" s="18"/>
      <c r="R294" s="17" t="str">
        <f aca="false">IF(OR(B294="",Q294=""),"",(Q294-B294)*24)</f>
        <v/>
      </c>
      <c r="S294" s="11" t="str">
        <f aca="false">IF(OR(N294="",Q294=""),"",IF(Q294&lt;=N294,"Sim","Não"))</f>
        <v/>
      </c>
      <c r="T294" s="19"/>
      <c r="U294" s="12"/>
      <c r="V294" s="12"/>
    </row>
    <row r="295" customFormat="false" ht="15" hidden="false" customHeight="false" outlineLevel="0" collapsed="false">
      <c r="A295" s="12"/>
      <c r="B295" s="18"/>
      <c r="C295" s="12"/>
      <c r="D295" s="11" t="str">
        <f aca="false">IF(C295="","",IFERROR(INDEX(Unidades!$B$2:$B$218,MATCH(C295,Unidades!$A$2:$A$218,0)),"Código não encontrado"))</f>
        <v/>
      </c>
      <c r="E295" s="11" t="str">
        <f aca="false">IF(C295="","",IFERROR(INDEX(Unidades!$C$2:$C$218,MATCH(C295,Unidades!$A$2:$A$218,0)),""))</f>
        <v/>
      </c>
      <c r="F295" s="12"/>
      <c r="G295" s="12"/>
      <c r="H295" s="12"/>
      <c r="I295" s="12"/>
      <c r="J295" s="12"/>
      <c r="K295" s="19"/>
      <c r="L295" s="12"/>
      <c r="M295" s="11" t="str">
        <f aca="false">IF(L295="","",IFERROR(INDEX(Prioridade_SLA!$B$2:$B$5,MATCH(L295,Prioridade_SLA!$A$2:$A$5,0)),""))</f>
        <v/>
      </c>
      <c r="N295" s="16" t="str">
        <f aca="false">IF(OR(B295="",M295=""),"",B295+M295/24)</f>
        <v/>
      </c>
      <c r="O295" s="12"/>
      <c r="P295" s="12"/>
      <c r="Q295" s="18"/>
      <c r="R295" s="17" t="str">
        <f aca="false">IF(OR(B295="",Q295=""),"",(Q295-B295)*24)</f>
        <v/>
      </c>
      <c r="S295" s="11" t="str">
        <f aca="false">IF(OR(N295="",Q295=""),"",IF(Q295&lt;=N295,"Sim","Não"))</f>
        <v/>
      </c>
      <c r="T295" s="19"/>
      <c r="U295" s="12"/>
      <c r="V295" s="12"/>
    </row>
    <row r="296" customFormat="false" ht="15" hidden="false" customHeight="false" outlineLevel="0" collapsed="false">
      <c r="A296" s="12"/>
      <c r="B296" s="18"/>
      <c r="C296" s="12"/>
      <c r="D296" s="11" t="str">
        <f aca="false">IF(C296="","",IFERROR(INDEX(Unidades!$B$2:$B$218,MATCH(C296,Unidades!$A$2:$A$218,0)),"Código não encontrado"))</f>
        <v/>
      </c>
      <c r="E296" s="11" t="str">
        <f aca="false">IF(C296="","",IFERROR(INDEX(Unidades!$C$2:$C$218,MATCH(C296,Unidades!$A$2:$A$218,0)),""))</f>
        <v/>
      </c>
      <c r="F296" s="12"/>
      <c r="G296" s="12"/>
      <c r="H296" s="12"/>
      <c r="I296" s="12"/>
      <c r="J296" s="12"/>
      <c r="K296" s="19"/>
      <c r="L296" s="12"/>
      <c r="M296" s="11" t="str">
        <f aca="false">IF(L296="","",IFERROR(INDEX(Prioridade_SLA!$B$2:$B$5,MATCH(L296,Prioridade_SLA!$A$2:$A$5,0)),""))</f>
        <v/>
      </c>
      <c r="N296" s="16" t="str">
        <f aca="false">IF(OR(B296="",M296=""),"",B296+M296/24)</f>
        <v/>
      </c>
      <c r="O296" s="12"/>
      <c r="P296" s="12"/>
      <c r="Q296" s="18"/>
      <c r="R296" s="17" t="str">
        <f aca="false">IF(OR(B296="",Q296=""),"",(Q296-B296)*24)</f>
        <v/>
      </c>
      <c r="S296" s="11" t="str">
        <f aca="false">IF(OR(N296="",Q296=""),"",IF(Q296&lt;=N296,"Sim","Não"))</f>
        <v/>
      </c>
      <c r="T296" s="19"/>
      <c r="U296" s="12"/>
      <c r="V296" s="12"/>
    </row>
    <row r="297" customFormat="false" ht="15" hidden="false" customHeight="false" outlineLevel="0" collapsed="false">
      <c r="A297" s="12"/>
      <c r="B297" s="18"/>
      <c r="C297" s="12"/>
      <c r="D297" s="11" t="str">
        <f aca="false">IF(C297="","",IFERROR(INDEX(Unidades!$B$2:$B$218,MATCH(C297,Unidades!$A$2:$A$218,0)),"Código não encontrado"))</f>
        <v/>
      </c>
      <c r="E297" s="11" t="str">
        <f aca="false">IF(C297="","",IFERROR(INDEX(Unidades!$C$2:$C$218,MATCH(C297,Unidades!$A$2:$A$218,0)),""))</f>
        <v/>
      </c>
      <c r="F297" s="12"/>
      <c r="G297" s="12"/>
      <c r="H297" s="12"/>
      <c r="I297" s="12"/>
      <c r="J297" s="12"/>
      <c r="K297" s="19"/>
      <c r="L297" s="12"/>
      <c r="M297" s="11" t="str">
        <f aca="false">IF(L297="","",IFERROR(INDEX(Prioridade_SLA!$B$2:$B$5,MATCH(L297,Prioridade_SLA!$A$2:$A$5,0)),""))</f>
        <v/>
      </c>
      <c r="N297" s="16" t="str">
        <f aca="false">IF(OR(B297="",M297=""),"",B297+M297/24)</f>
        <v/>
      </c>
      <c r="O297" s="12"/>
      <c r="P297" s="12"/>
      <c r="Q297" s="18"/>
      <c r="R297" s="17" t="str">
        <f aca="false">IF(OR(B297="",Q297=""),"",(Q297-B297)*24)</f>
        <v/>
      </c>
      <c r="S297" s="11" t="str">
        <f aca="false">IF(OR(N297="",Q297=""),"",IF(Q297&lt;=N297,"Sim","Não"))</f>
        <v/>
      </c>
      <c r="T297" s="19"/>
      <c r="U297" s="12"/>
      <c r="V297" s="12"/>
    </row>
    <row r="298" customFormat="false" ht="15" hidden="false" customHeight="false" outlineLevel="0" collapsed="false">
      <c r="A298" s="12"/>
      <c r="B298" s="18"/>
      <c r="C298" s="12"/>
      <c r="D298" s="11" t="str">
        <f aca="false">IF(C298="","",IFERROR(INDEX(Unidades!$B$2:$B$218,MATCH(C298,Unidades!$A$2:$A$218,0)),"Código não encontrado"))</f>
        <v/>
      </c>
      <c r="E298" s="11" t="str">
        <f aca="false">IF(C298="","",IFERROR(INDEX(Unidades!$C$2:$C$218,MATCH(C298,Unidades!$A$2:$A$218,0)),""))</f>
        <v/>
      </c>
      <c r="F298" s="12"/>
      <c r="G298" s="12"/>
      <c r="H298" s="12"/>
      <c r="I298" s="12"/>
      <c r="J298" s="12"/>
      <c r="K298" s="19"/>
      <c r="L298" s="12"/>
      <c r="M298" s="11" t="str">
        <f aca="false">IF(L298="","",IFERROR(INDEX(Prioridade_SLA!$B$2:$B$5,MATCH(L298,Prioridade_SLA!$A$2:$A$5,0)),""))</f>
        <v/>
      </c>
      <c r="N298" s="16" t="str">
        <f aca="false">IF(OR(B298="",M298=""),"",B298+M298/24)</f>
        <v/>
      </c>
      <c r="O298" s="12"/>
      <c r="P298" s="12"/>
      <c r="Q298" s="18"/>
      <c r="R298" s="17" t="str">
        <f aca="false">IF(OR(B298="",Q298=""),"",(Q298-B298)*24)</f>
        <v/>
      </c>
      <c r="S298" s="11" t="str">
        <f aca="false">IF(OR(N298="",Q298=""),"",IF(Q298&lt;=N298,"Sim","Não"))</f>
        <v/>
      </c>
      <c r="T298" s="19"/>
      <c r="U298" s="12"/>
      <c r="V298" s="12"/>
    </row>
    <row r="299" customFormat="false" ht="15" hidden="false" customHeight="false" outlineLevel="0" collapsed="false">
      <c r="A299" s="12"/>
      <c r="B299" s="18"/>
      <c r="C299" s="12"/>
      <c r="D299" s="11" t="str">
        <f aca="false">IF(C299="","",IFERROR(INDEX(Unidades!$B$2:$B$218,MATCH(C299,Unidades!$A$2:$A$218,0)),"Código não encontrado"))</f>
        <v/>
      </c>
      <c r="E299" s="11" t="str">
        <f aca="false">IF(C299="","",IFERROR(INDEX(Unidades!$C$2:$C$218,MATCH(C299,Unidades!$A$2:$A$218,0)),""))</f>
        <v/>
      </c>
      <c r="F299" s="12"/>
      <c r="G299" s="12"/>
      <c r="H299" s="12"/>
      <c r="I299" s="12"/>
      <c r="J299" s="12"/>
      <c r="K299" s="19"/>
      <c r="L299" s="12"/>
      <c r="M299" s="11" t="str">
        <f aca="false">IF(L299="","",IFERROR(INDEX(Prioridade_SLA!$B$2:$B$5,MATCH(L299,Prioridade_SLA!$A$2:$A$5,0)),""))</f>
        <v/>
      </c>
      <c r="N299" s="16" t="str">
        <f aca="false">IF(OR(B299="",M299=""),"",B299+M299/24)</f>
        <v/>
      </c>
      <c r="O299" s="12"/>
      <c r="P299" s="12"/>
      <c r="Q299" s="18"/>
      <c r="R299" s="17" t="str">
        <f aca="false">IF(OR(B299="",Q299=""),"",(Q299-B299)*24)</f>
        <v/>
      </c>
      <c r="S299" s="11" t="str">
        <f aca="false">IF(OR(N299="",Q299=""),"",IF(Q299&lt;=N299,"Sim","Não"))</f>
        <v/>
      </c>
      <c r="T299" s="19"/>
      <c r="U299" s="12"/>
      <c r="V299" s="12"/>
    </row>
    <row r="300" customFormat="false" ht="15" hidden="false" customHeight="false" outlineLevel="0" collapsed="false">
      <c r="A300" s="12"/>
      <c r="B300" s="18"/>
      <c r="C300" s="12"/>
      <c r="D300" s="11" t="str">
        <f aca="false">IF(C300="","",IFERROR(INDEX(Unidades!$B$2:$B$218,MATCH(C300,Unidades!$A$2:$A$218,0)),"Código não encontrado"))</f>
        <v/>
      </c>
      <c r="E300" s="11" t="str">
        <f aca="false">IF(C300="","",IFERROR(INDEX(Unidades!$C$2:$C$218,MATCH(C300,Unidades!$A$2:$A$218,0)),""))</f>
        <v/>
      </c>
      <c r="F300" s="12"/>
      <c r="G300" s="12"/>
      <c r="H300" s="12"/>
      <c r="I300" s="12"/>
      <c r="J300" s="12"/>
      <c r="K300" s="19"/>
      <c r="L300" s="12"/>
      <c r="M300" s="11" t="str">
        <f aca="false">IF(L300="","",IFERROR(INDEX(Prioridade_SLA!$B$2:$B$5,MATCH(L300,Prioridade_SLA!$A$2:$A$5,0)),""))</f>
        <v/>
      </c>
      <c r="N300" s="16" t="str">
        <f aca="false">IF(OR(B300="",M300=""),"",B300+M300/24)</f>
        <v/>
      </c>
      <c r="O300" s="12"/>
      <c r="P300" s="12"/>
      <c r="Q300" s="18"/>
      <c r="R300" s="17" t="str">
        <f aca="false">IF(OR(B300="",Q300=""),"",(Q300-B300)*24)</f>
        <v/>
      </c>
      <c r="S300" s="11" t="str">
        <f aca="false">IF(OR(N300="",Q300=""),"",IF(Q300&lt;=N300,"Sim","Não"))</f>
        <v/>
      </c>
      <c r="T300" s="19"/>
      <c r="U300" s="12"/>
      <c r="V300" s="12"/>
    </row>
    <row r="301" customFormat="false" ht="15" hidden="false" customHeight="false" outlineLevel="0" collapsed="false">
      <c r="A301" s="12"/>
      <c r="B301" s="18"/>
      <c r="C301" s="12"/>
      <c r="D301" s="11" t="str">
        <f aca="false">IF(C301="","",IFERROR(INDEX(Unidades!$B$2:$B$218,MATCH(C301,Unidades!$A$2:$A$218,0)),"Código não encontrado"))</f>
        <v/>
      </c>
      <c r="E301" s="11" t="str">
        <f aca="false">IF(C301="","",IFERROR(INDEX(Unidades!$C$2:$C$218,MATCH(C301,Unidades!$A$2:$A$218,0)),""))</f>
        <v/>
      </c>
      <c r="F301" s="12"/>
      <c r="G301" s="12"/>
      <c r="H301" s="12"/>
      <c r="I301" s="12"/>
      <c r="J301" s="12"/>
      <c r="K301" s="19"/>
      <c r="L301" s="12"/>
      <c r="M301" s="11" t="str">
        <f aca="false">IF(L301="","",IFERROR(INDEX(Prioridade_SLA!$B$2:$B$5,MATCH(L301,Prioridade_SLA!$A$2:$A$5,0)),""))</f>
        <v/>
      </c>
      <c r="N301" s="16" t="str">
        <f aca="false">IF(OR(B301="",M301=""),"",B301+M301/24)</f>
        <v/>
      </c>
      <c r="O301" s="12"/>
      <c r="P301" s="12"/>
      <c r="Q301" s="18"/>
      <c r="R301" s="17" t="str">
        <f aca="false">IF(OR(B301="",Q301=""),"",(Q301-B301)*24)</f>
        <v/>
      </c>
      <c r="S301" s="11" t="str">
        <f aca="false">IF(OR(N301="",Q301=""),"",IF(Q301&lt;=N301,"Sim","Não"))</f>
        <v/>
      </c>
      <c r="T301" s="19"/>
      <c r="U301" s="12"/>
      <c r="V301" s="12"/>
    </row>
    <row r="302" customFormat="false" ht="15" hidden="false" customHeight="false" outlineLevel="0" collapsed="false">
      <c r="A302" s="12"/>
      <c r="B302" s="18"/>
      <c r="C302" s="12"/>
      <c r="D302" s="11" t="str">
        <f aca="false">IF(C302="","",IFERROR(INDEX(Unidades!$B$2:$B$218,MATCH(C302,Unidades!$A$2:$A$218,0)),"Código não encontrado"))</f>
        <v/>
      </c>
      <c r="E302" s="11" t="str">
        <f aca="false">IF(C302="","",IFERROR(INDEX(Unidades!$C$2:$C$218,MATCH(C302,Unidades!$A$2:$A$218,0)),""))</f>
        <v/>
      </c>
      <c r="F302" s="12"/>
      <c r="G302" s="12"/>
      <c r="H302" s="12"/>
      <c r="I302" s="12"/>
      <c r="J302" s="12"/>
      <c r="K302" s="19"/>
      <c r="L302" s="12"/>
      <c r="M302" s="11" t="str">
        <f aca="false">IF(L302="","",IFERROR(INDEX(Prioridade_SLA!$B$2:$B$5,MATCH(L302,Prioridade_SLA!$A$2:$A$5,0)),""))</f>
        <v/>
      </c>
      <c r="N302" s="16" t="str">
        <f aca="false">IF(OR(B302="",M302=""),"",B302+M302/24)</f>
        <v/>
      </c>
      <c r="O302" s="12"/>
      <c r="P302" s="12"/>
      <c r="Q302" s="18"/>
      <c r="R302" s="17" t="str">
        <f aca="false">IF(OR(B302="",Q302=""),"",(Q302-B302)*24)</f>
        <v/>
      </c>
      <c r="S302" s="11" t="str">
        <f aca="false">IF(OR(N302="",Q302=""),"",IF(Q302&lt;=N302,"Sim","Não"))</f>
        <v/>
      </c>
      <c r="T302" s="19"/>
      <c r="U302" s="12"/>
      <c r="V302" s="12"/>
    </row>
    <row r="303" customFormat="false" ht="15" hidden="false" customHeight="false" outlineLevel="0" collapsed="false">
      <c r="A303" s="12"/>
      <c r="B303" s="18"/>
      <c r="C303" s="12"/>
      <c r="D303" s="11" t="str">
        <f aca="false">IF(C303="","",IFERROR(INDEX(Unidades!$B$2:$B$218,MATCH(C303,Unidades!$A$2:$A$218,0)),"Código não encontrado"))</f>
        <v/>
      </c>
      <c r="E303" s="11" t="str">
        <f aca="false">IF(C303="","",IFERROR(INDEX(Unidades!$C$2:$C$218,MATCH(C303,Unidades!$A$2:$A$218,0)),""))</f>
        <v/>
      </c>
      <c r="F303" s="12"/>
      <c r="G303" s="12"/>
      <c r="H303" s="12"/>
      <c r="I303" s="12"/>
      <c r="J303" s="12"/>
      <c r="K303" s="19"/>
      <c r="L303" s="12"/>
      <c r="M303" s="11" t="str">
        <f aca="false">IF(L303="","",IFERROR(INDEX(Prioridade_SLA!$B$2:$B$5,MATCH(L303,Prioridade_SLA!$A$2:$A$5,0)),""))</f>
        <v/>
      </c>
      <c r="N303" s="16" t="str">
        <f aca="false">IF(OR(B303="",M303=""),"",B303+M303/24)</f>
        <v/>
      </c>
      <c r="O303" s="12"/>
      <c r="P303" s="12"/>
      <c r="Q303" s="18"/>
      <c r="R303" s="17" t="str">
        <f aca="false">IF(OR(B303="",Q303=""),"",(Q303-B303)*24)</f>
        <v/>
      </c>
      <c r="S303" s="11" t="str">
        <f aca="false">IF(OR(N303="",Q303=""),"",IF(Q303&lt;=N303,"Sim","Não"))</f>
        <v/>
      </c>
      <c r="T303" s="19"/>
      <c r="U303" s="12"/>
      <c r="V303" s="12"/>
    </row>
    <row r="304" customFormat="false" ht="15" hidden="false" customHeight="false" outlineLevel="0" collapsed="false">
      <c r="A304" s="12"/>
      <c r="B304" s="18"/>
      <c r="C304" s="12"/>
      <c r="D304" s="11" t="str">
        <f aca="false">IF(C304="","",IFERROR(INDEX(Unidades!$B$2:$B$218,MATCH(C304,Unidades!$A$2:$A$218,0)),"Código não encontrado"))</f>
        <v/>
      </c>
      <c r="E304" s="11" t="str">
        <f aca="false">IF(C304="","",IFERROR(INDEX(Unidades!$C$2:$C$218,MATCH(C304,Unidades!$A$2:$A$218,0)),""))</f>
        <v/>
      </c>
      <c r="F304" s="12"/>
      <c r="G304" s="12"/>
      <c r="H304" s="12"/>
      <c r="I304" s="12"/>
      <c r="J304" s="12"/>
      <c r="K304" s="19"/>
      <c r="L304" s="12"/>
      <c r="M304" s="11" t="str">
        <f aca="false">IF(L304="","",IFERROR(INDEX(Prioridade_SLA!$B$2:$B$5,MATCH(L304,Prioridade_SLA!$A$2:$A$5,0)),""))</f>
        <v/>
      </c>
      <c r="N304" s="16" t="str">
        <f aca="false">IF(OR(B304="",M304=""),"",B304+M304/24)</f>
        <v/>
      </c>
      <c r="O304" s="12"/>
      <c r="P304" s="12"/>
      <c r="Q304" s="18"/>
      <c r="R304" s="17" t="str">
        <f aca="false">IF(OR(B304="",Q304=""),"",(Q304-B304)*24)</f>
        <v/>
      </c>
      <c r="S304" s="11" t="str">
        <f aca="false">IF(OR(N304="",Q304=""),"",IF(Q304&lt;=N304,"Sim","Não"))</f>
        <v/>
      </c>
      <c r="T304" s="19"/>
      <c r="U304" s="12"/>
      <c r="V304" s="12"/>
    </row>
    <row r="305" customFormat="false" ht="15" hidden="false" customHeight="false" outlineLevel="0" collapsed="false">
      <c r="A305" s="12"/>
      <c r="B305" s="18"/>
      <c r="C305" s="12"/>
      <c r="D305" s="11" t="str">
        <f aca="false">IF(C305="","",IFERROR(INDEX(Unidades!$B$2:$B$218,MATCH(C305,Unidades!$A$2:$A$218,0)),"Código não encontrado"))</f>
        <v/>
      </c>
      <c r="E305" s="11" t="str">
        <f aca="false">IF(C305="","",IFERROR(INDEX(Unidades!$C$2:$C$218,MATCH(C305,Unidades!$A$2:$A$218,0)),""))</f>
        <v/>
      </c>
      <c r="F305" s="12"/>
      <c r="G305" s="12"/>
      <c r="H305" s="12"/>
      <c r="I305" s="12"/>
      <c r="J305" s="12"/>
      <c r="K305" s="19"/>
      <c r="L305" s="12"/>
      <c r="M305" s="11" t="str">
        <f aca="false">IF(L305="","",IFERROR(INDEX(Prioridade_SLA!$B$2:$B$5,MATCH(L305,Prioridade_SLA!$A$2:$A$5,0)),""))</f>
        <v/>
      </c>
      <c r="N305" s="16" t="str">
        <f aca="false">IF(OR(B305="",M305=""),"",B305+M305/24)</f>
        <v/>
      </c>
      <c r="O305" s="12"/>
      <c r="P305" s="12"/>
      <c r="Q305" s="18"/>
      <c r="R305" s="17" t="str">
        <f aca="false">IF(OR(B305="",Q305=""),"",(Q305-B305)*24)</f>
        <v/>
      </c>
      <c r="S305" s="11" t="str">
        <f aca="false">IF(OR(N305="",Q305=""),"",IF(Q305&lt;=N305,"Sim","Não"))</f>
        <v/>
      </c>
      <c r="T305" s="19"/>
      <c r="U305" s="12"/>
      <c r="V305" s="12"/>
    </row>
    <row r="306" customFormat="false" ht="15" hidden="false" customHeight="false" outlineLevel="0" collapsed="false">
      <c r="A306" s="12"/>
      <c r="B306" s="18"/>
      <c r="C306" s="12"/>
      <c r="D306" s="11" t="str">
        <f aca="false">IF(C306="","",IFERROR(INDEX(Unidades!$B$2:$B$218,MATCH(C306,Unidades!$A$2:$A$218,0)),"Código não encontrado"))</f>
        <v/>
      </c>
      <c r="E306" s="11" t="str">
        <f aca="false">IF(C306="","",IFERROR(INDEX(Unidades!$C$2:$C$218,MATCH(C306,Unidades!$A$2:$A$218,0)),""))</f>
        <v/>
      </c>
      <c r="F306" s="12"/>
      <c r="G306" s="12"/>
      <c r="H306" s="12"/>
      <c r="I306" s="12"/>
      <c r="J306" s="12"/>
      <c r="K306" s="19"/>
      <c r="L306" s="12"/>
      <c r="M306" s="11" t="str">
        <f aca="false">IF(L306="","",IFERROR(INDEX(Prioridade_SLA!$B$2:$B$5,MATCH(L306,Prioridade_SLA!$A$2:$A$5,0)),""))</f>
        <v/>
      </c>
      <c r="N306" s="16" t="str">
        <f aca="false">IF(OR(B306="",M306=""),"",B306+M306/24)</f>
        <v/>
      </c>
      <c r="O306" s="12"/>
      <c r="P306" s="12"/>
      <c r="Q306" s="18"/>
      <c r="R306" s="17" t="str">
        <f aca="false">IF(OR(B306="",Q306=""),"",(Q306-B306)*24)</f>
        <v/>
      </c>
      <c r="S306" s="11" t="str">
        <f aca="false">IF(OR(N306="",Q306=""),"",IF(Q306&lt;=N306,"Sim","Não"))</f>
        <v/>
      </c>
      <c r="T306" s="19"/>
      <c r="U306" s="12"/>
      <c r="V306" s="12"/>
    </row>
    <row r="307" customFormat="false" ht="15" hidden="false" customHeight="false" outlineLevel="0" collapsed="false">
      <c r="A307" s="12"/>
      <c r="B307" s="18"/>
      <c r="C307" s="12"/>
      <c r="D307" s="11" t="str">
        <f aca="false">IF(C307="","",IFERROR(INDEX(Unidades!$B$2:$B$218,MATCH(C307,Unidades!$A$2:$A$218,0)),"Código não encontrado"))</f>
        <v/>
      </c>
      <c r="E307" s="11" t="str">
        <f aca="false">IF(C307="","",IFERROR(INDEX(Unidades!$C$2:$C$218,MATCH(C307,Unidades!$A$2:$A$218,0)),""))</f>
        <v/>
      </c>
      <c r="F307" s="12"/>
      <c r="G307" s="12"/>
      <c r="H307" s="12"/>
      <c r="I307" s="12"/>
      <c r="J307" s="12"/>
      <c r="K307" s="19"/>
      <c r="L307" s="12"/>
      <c r="M307" s="11" t="str">
        <f aca="false">IF(L307="","",IFERROR(INDEX(Prioridade_SLA!$B$2:$B$5,MATCH(L307,Prioridade_SLA!$A$2:$A$5,0)),""))</f>
        <v/>
      </c>
      <c r="N307" s="16" t="str">
        <f aca="false">IF(OR(B307="",M307=""),"",B307+M307/24)</f>
        <v/>
      </c>
      <c r="O307" s="12"/>
      <c r="P307" s="12"/>
      <c r="Q307" s="18"/>
      <c r="R307" s="17" t="str">
        <f aca="false">IF(OR(B307="",Q307=""),"",(Q307-B307)*24)</f>
        <v/>
      </c>
      <c r="S307" s="11" t="str">
        <f aca="false">IF(OR(N307="",Q307=""),"",IF(Q307&lt;=N307,"Sim","Não"))</f>
        <v/>
      </c>
      <c r="T307" s="19"/>
      <c r="U307" s="12"/>
      <c r="V307" s="12"/>
    </row>
    <row r="308" customFormat="false" ht="15" hidden="false" customHeight="false" outlineLevel="0" collapsed="false">
      <c r="A308" s="12"/>
      <c r="B308" s="18"/>
      <c r="C308" s="12"/>
      <c r="D308" s="11" t="str">
        <f aca="false">IF(C308="","",IFERROR(INDEX(Unidades!$B$2:$B$218,MATCH(C308,Unidades!$A$2:$A$218,0)),"Código não encontrado"))</f>
        <v/>
      </c>
      <c r="E308" s="11" t="str">
        <f aca="false">IF(C308="","",IFERROR(INDEX(Unidades!$C$2:$C$218,MATCH(C308,Unidades!$A$2:$A$218,0)),""))</f>
        <v/>
      </c>
      <c r="F308" s="12"/>
      <c r="G308" s="12"/>
      <c r="H308" s="12"/>
      <c r="I308" s="12"/>
      <c r="J308" s="12"/>
      <c r="K308" s="19"/>
      <c r="L308" s="12"/>
      <c r="M308" s="11" t="str">
        <f aca="false">IF(L308="","",IFERROR(INDEX(Prioridade_SLA!$B$2:$B$5,MATCH(L308,Prioridade_SLA!$A$2:$A$5,0)),""))</f>
        <v/>
      </c>
      <c r="N308" s="16" t="str">
        <f aca="false">IF(OR(B308="",M308=""),"",B308+M308/24)</f>
        <v/>
      </c>
      <c r="O308" s="12"/>
      <c r="P308" s="12"/>
      <c r="Q308" s="18"/>
      <c r="R308" s="17" t="str">
        <f aca="false">IF(OR(B308="",Q308=""),"",(Q308-B308)*24)</f>
        <v/>
      </c>
      <c r="S308" s="11" t="str">
        <f aca="false">IF(OR(N308="",Q308=""),"",IF(Q308&lt;=N308,"Sim","Não"))</f>
        <v/>
      </c>
      <c r="T308" s="19"/>
      <c r="U308" s="12"/>
      <c r="V308" s="12"/>
    </row>
    <row r="309" customFormat="false" ht="15" hidden="false" customHeight="false" outlineLevel="0" collapsed="false">
      <c r="A309" s="12"/>
      <c r="B309" s="18"/>
      <c r="C309" s="12"/>
      <c r="D309" s="11" t="str">
        <f aca="false">IF(C309="","",IFERROR(INDEX(Unidades!$B$2:$B$218,MATCH(C309,Unidades!$A$2:$A$218,0)),"Código não encontrado"))</f>
        <v/>
      </c>
      <c r="E309" s="11" t="str">
        <f aca="false">IF(C309="","",IFERROR(INDEX(Unidades!$C$2:$C$218,MATCH(C309,Unidades!$A$2:$A$218,0)),""))</f>
        <v/>
      </c>
      <c r="F309" s="12"/>
      <c r="G309" s="12"/>
      <c r="H309" s="12"/>
      <c r="I309" s="12"/>
      <c r="J309" s="12"/>
      <c r="K309" s="19"/>
      <c r="L309" s="12"/>
      <c r="M309" s="11" t="str">
        <f aca="false">IF(L309="","",IFERROR(INDEX(Prioridade_SLA!$B$2:$B$5,MATCH(L309,Prioridade_SLA!$A$2:$A$5,0)),""))</f>
        <v/>
      </c>
      <c r="N309" s="16" t="str">
        <f aca="false">IF(OR(B309="",M309=""),"",B309+M309/24)</f>
        <v/>
      </c>
      <c r="O309" s="12"/>
      <c r="P309" s="12"/>
      <c r="Q309" s="18"/>
      <c r="R309" s="17" t="str">
        <f aca="false">IF(OR(B309="",Q309=""),"",(Q309-B309)*24)</f>
        <v/>
      </c>
      <c r="S309" s="11" t="str">
        <f aca="false">IF(OR(N309="",Q309=""),"",IF(Q309&lt;=N309,"Sim","Não"))</f>
        <v/>
      </c>
      <c r="T309" s="19"/>
      <c r="U309" s="12"/>
      <c r="V309" s="12"/>
    </row>
    <row r="310" customFormat="false" ht="15" hidden="false" customHeight="false" outlineLevel="0" collapsed="false">
      <c r="A310" s="12"/>
      <c r="B310" s="18"/>
      <c r="C310" s="12"/>
      <c r="D310" s="11" t="str">
        <f aca="false">IF(C310="","",IFERROR(INDEX(Unidades!$B$2:$B$218,MATCH(C310,Unidades!$A$2:$A$218,0)),"Código não encontrado"))</f>
        <v/>
      </c>
      <c r="E310" s="11" t="str">
        <f aca="false">IF(C310="","",IFERROR(INDEX(Unidades!$C$2:$C$218,MATCH(C310,Unidades!$A$2:$A$218,0)),""))</f>
        <v/>
      </c>
      <c r="F310" s="12"/>
      <c r="G310" s="12"/>
      <c r="H310" s="12"/>
      <c r="I310" s="12"/>
      <c r="J310" s="12"/>
      <c r="K310" s="19"/>
      <c r="L310" s="12"/>
      <c r="M310" s="11" t="str">
        <f aca="false">IF(L310="","",IFERROR(INDEX(Prioridade_SLA!$B$2:$B$5,MATCH(L310,Prioridade_SLA!$A$2:$A$5,0)),""))</f>
        <v/>
      </c>
      <c r="N310" s="16" t="str">
        <f aca="false">IF(OR(B310="",M310=""),"",B310+M310/24)</f>
        <v/>
      </c>
      <c r="O310" s="12"/>
      <c r="P310" s="12"/>
      <c r="Q310" s="18"/>
      <c r="R310" s="17" t="str">
        <f aca="false">IF(OR(B310="",Q310=""),"",(Q310-B310)*24)</f>
        <v/>
      </c>
      <c r="S310" s="11" t="str">
        <f aca="false">IF(OR(N310="",Q310=""),"",IF(Q310&lt;=N310,"Sim","Não"))</f>
        <v/>
      </c>
      <c r="T310" s="19"/>
      <c r="U310" s="12"/>
      <c r="V310" s="12"/>
    </row>
    <row r="311" customFormat="false" ht="15" hidden="false" customHeight="false" outlineLevel="0" collapsed="false">
      <c r="A311" s="12"/>
      <c r="B311" s="18"/>
      <c r="C311" s="12"/>
      <c r="D311" s="11" t="str">
        <f aca="false">IF(C311="","",IFERROR(INDEX(Unidades!$B$2:$B$218,MATCH(C311,Unidades!$A$2:$A$218,0)),"Código não encontrado"))</f>
        <v/>
      </c>
      <c r="E311" s="11" t="str">
        <f aca="false">IF(C311="","",IFERROR(INDEX(Unidades!$C$2:$C$218,MATCH(C311,Unidades!$A$2:$A$218,0)),""))</f>
        <v/>
      </c>
      <c r="F311" s="12"/>
      <c r="G311" s="12"/>
      <c r="H311" s="12"/>
      <c r="I311" s="12"/>
      <c r="J311" s="12"/>
      <c r="K311" s="19"/>
      <c r="L311" s="12"/>
      <c r="M311" s="11" t="str">
        <f aca="false">IF(L311="","",IFERROR(INDEX(Prioridade_SLA!$B$2:$B$5,MATCH(L311,Prioridade_SLA!$A$2:$A$5,0)),""))</f>
        <v/>
      </c>
      <c r="N311" s="16" t="str">
        <f aca="false">IF(OR(B311="",M311=""),"",B311+M311/24)</f>
        <v/>
      </c>
      <c r="O311" s="12"/>
      <c r="P311" s="12"/>
      <c r="Q311" s="18"/>
      <c r="R311" s="17" t="str">
        <f aca="false">IF(OR(B311="",Q311=""),"",(Q311-B311)*24)</f>
        <v/>
      </c>
      <c r="S311" s="11" t="str">
        <f aca="false">IF(OR(N311="",Q311=""),"",IF(Q311&lt;=N311,"Sim","Não"))</f>
        <v/>
      </c>
      <c r="T311" s="19"/>
      <c r="U311" s="12"/>
      <c r="V311" s="12"/>
    </row>
    <row r="312" customFormat="false" ht="15" hidden="false" customHeight="false" outlineLevel="0" collapsed="false">
      <c r="A312" s="12"/>
      <c r="B312" s="18"/>
      <c r="C312" s="12"/>
      <c r="D312" s="11" t="str">
        <f aca="false">IF(C312="","",IFERROR(INDEX(Unidades!$B$2:$B$218,MATCH(C312,Unidades!$A$2:$A$218,0)),"Código não encontrado"))</f>
        <v/>
      </c>
      <c r="E312" s="11" t="str">
        <f aca="false">IF(C312="","",IFERROR(INDEX(Unidades!$C$2:$C$218,MATCH(C312,Unidades!$A$2:$A$218,0)),""))</f>
        <v/>
      </c>
      <c r="F312" s="12"/>
      <c r="G312" s="12"/>
      <c r="H312" s="12"/>
      <c r="I312" s="12"/>
      <c r="J312" s="12"/>
      <c r="K312" s="19"/>
      <c r="L312" s="12"/>
      <c r="M312" s="11" t="str">
        <f aca="false">IF(L312="","",IFERROR(INDEX(Prioridade_SLA!$B$2:$B$5,MATCH(L312,Prioridade_SLA!$A$2:$A$5,0)),""))</f>
        <v/>
      </c>
      <c r="N312" s="16" t="str">
        <f aca="false">IF(OR(B312="",M312=""),"",B312+M312/24)</f>
        <v/>
      </c>
      <c r="O312" s="12"/>
      <c r="P312" s="12"/>
      <c r="Q312" s="18"/>
      <c r="R312" s="17" t="str">
        <f aca="false">IF(OR(B312="",Q312=""),"",(Q312-B312)*24)</f>
        <v/>
      </c>
      <c r="S312" s="11" t="str">
        <f aca="false">IF(OR(N312="",Q312=""),"",IF(Q312&lt;=N312,"Sim","Não"))</f>
        <v/>
      </c>
      <c r="T312" s="19"/>
      <c r="U312" s="12"/>
      <c r="V312" s="12"/>
    </row>
    <row r="313" customFormat="false" ht="15" hidden="false" customHeight="false" outlineLevel="0" collapsed="false">
      <c r="A313" s="12"/>
      <c r="B313" s="18"/>
      <c r="C313" s="12"/>
      <c r="D313" s="11" t="str">
        <f aca="false">IF(C313="","",IFERROR(INDEX(Unidades!$B$2:$B$218,MATCH(C313,Unidades!$A$2:$A$218,0)),"Código não encontrado"))</f>
        <v/>
      </c>
      <c r="E313" s="11" t="str">
        <f aca="false">IF(C313="","",IFERROR(INDEX(Unidades!$C$2:$C$218,MATCH(C313,Unidades!$A$2:$A$218,0)),""))</f>
        <v/>
      </c>
      <c r="F313" s="12"/>
      <c r="G313" s="12"/>
      <c r="H313" s="12"/>
      <c r="I313" s="12"/>
      <c r="J313" s="12"/>
      <c r="K313" s="19"/>
      <c r="L313" s="12"/>
      <c r="M313" s="11" t="str">
        <f aca="false">IF(L313="","",IFERROR(INDEX(Prioridade_SLA!$B$2:$B$5,MATCH(L313,Prioridade_SLA!$A$2:$A$5,0)),""))</f>
        <v/>
      </c>
      <c r="N313" s="16" t="str">
        <f aca="false">IF(OR(B313="",M313=""),"",B313+M313/24)</f>
        <v/>
      </c>
      <c r="O313" s="12"/>
      <c r="P313" s="12"/>
      <c r="Q313" s="18"/>
      <c r="R313" s="17" t="str">
        <f aca="false">IF(OR(B313="",Q313=""),"",(Q313-B313)*24)</f>
        <v/>
      </c>
      <c r="S313" s="11" t="str">
        <f aca="false">IF(OR(N313="",Q313=""),"",IF(Q313&lt;=N313,"Sim","Não"))</f>
        <v/>
      </c>
      <c r="T313" s="19"/>
      <c r="U313" s="12"/>
      <c r="V313" s="12"/>
    </row>
    <row r="314" customFormat="false" ht="15" hidden="false" customHeight="false" outlineLevel="0" collapsed="false">
      <c r="A314" s="12"/>
      <c r="B314" s="18"/>
      <c r="C314" s="12"/>
      <c r="D314" s="11" t="str">
        <f aca="false">IF(C314="","",IFERROR(INDEX(Unidades!$B$2:$B$218,MATCH(C314,Unidades!$A$2:$A$218,0)),"Código não encontrado"))</f>
        <v/>
      </c>
      <c r="E314" s="11" t="str">
        <f aca="false">IF(C314="","",IFERROR(INDEX(Unidades!$C$2:$C$218,MATCH(C314,Unidades!$A$2:$A$218,0)),""))</f>
        <v/>
      </c>
      <c r="F314" s="12"/>
      <c r="G314" s="12"/>
      <c r="H314" s="12"/>
      <c r="I314" s="12"/>
      <c r="J314" s="12"/>
      <c r="K314" s="19"/>
      <c r="L314" s="12"/>
      <c r="M314" s="11" t="str">
        <f aca="false">IF(L314="","",IFERROR(INDEX(Prioridade_SLA!$B$2:$B$5,MATCH(L314,Prioridade_SLA!$A$2:$A$5,0)),""))</f>
        <v/>
      </c>
      <c r="N314" s="16" t="str">
        <f aca="false">IF(OR(B314="",M314=""),"",B314+M314/24)</f>
        <v/>
      </c>
      <c r="O314" s="12"/>
      <c r="P314" s="12"/>
      <c r="Q314" s="18"/>
      <c r="R314" s="17" t="str">
        <f aca="false">IF(OR(B314="",Q314=""),"",(Q314-B314)*24)</f>
        <v/>
      </c>
      <c r="S314" s="11" t="str">
        <f aca="false">IF(OR(N314="",Q314=""),"",IF(Q314&lt;=N314,"Sim","Não"))</f>
        <v/>
      </c>
      <c r="T314" s="19"/>
      <c r="U314" s="12"/>
      <c r="V314" s="12"/>
    </row>
    <row r="315" customFormat="false" ht="15" hidden="false" customHeight="false" outlineLevel="0" collapsed="false">
      <c r="A315" s="12"/>
      <c r="B315" s="18"/>
      <c r="C315" s="12"/>
      <c r="D315" s="11" t="str">
        <f aca="false">IF(C315="","",IFERROR(INDEX(Unidades!$B$2:$B$218,MATCH(C315,Unidades!$A$2:$A$218,0)),"Código não encontrado"))</f>
        <v/>
      </c>
      <c r="E315" s="11" t="str">
        <f aca="false">IF(C315="","",IFERROR(INDEX(Unidades!$C$2:$C$218,MATCH(C315,Unidades!$A$2:$A$218,0)),""))</f>
        <v/>
      </c>
      <c r="F315" s="12"/>
      <c r="G315" s="12"/>
      <c r="H315" s="12"/>
      <c r="I315" s="12"/>
      <c r="J315" s="12"/>
      <c r="K315" s="19"/>
      <c r="L315" s="12"/>
      <c r="M315" s="11" t="str">
        <f aca="false">IF(L315="","",IFERROR(INDEX(Prioridade_SLA!$B$2:$B$5,MATCH(L315,Prioridade_SLA!$A$2:$A$5,0)),""))</f>
        <v/>
      </c>
      <c r="N315" s="16" t="str">
        <f aca="false">IF(OR(B315="",M315=""),"",B315+M315/24)</f>
        <v/>
      </c>
      <c r="O315" s="12"/>
      <c r="P315" s="12"/>
      <c r="Q315" s="18"/>
      <c r="R315" s="17" t="str">
        <f aca="false">IF(OR(B315="",Q315=""),"",(Q315-B315)*24)</f>
        <v/>
      </c>
      <c r="S315" s="11" t="str">
        <f aca="false">IF(OR(N315="",Q315=""),"",IF(Q315&lt;=N315,"Sim","Não"))</f>
        <v/>
      </c>
      <c r="T315" s="19"/>
      <c r="U315" s="12"/>
      <c r="V315" s="12"/>
    </row>
    <row r="316" customFormat="false" ht="15" hidden="false" customHeight="false" outlineLevel="0" collapsed="false">
      <c r="A316" s="12"/>
      <c r="B316" s="18"/>
      <c r="C316" s="12"/>
      <c r="D316" s="11" t="str">
        <f aca="false">IF(C316="","",IFERROR(INDEX(Unidades!$B$2:$B$218,MATCH(C316,Unidades!$A$2:$A$218,0)),"Código não encontrado"))</f>
        <v/>
      </c>
      <c r="E316" s="11" t="str">
        <f aca="false">IF(C316="","",IFERROR(INDEX(Unidades!$C$2:$C$218,MATCH(C316,Unidades!$A$2:$A$218,0)),""))</f>
        <v/>
      </c>
      <c r="F316" s="12"/>
      <c r="G316" s="12"/>
      <c r="H316" s="12"/>
      <c r="I316" s="12"/>
      <c r="J316" s="12"/>
      <c r="K316" s="19"/>
      <c r="L316" s="12"/>
      <c r="M316" s="11" t="str">
        <f aca="false">IF(L316="","",IFERROR(INDEX(Prioridade_SLA!$B$2:$B$5,MATCH(L316,Prioridade_SLA!$A$2:$A$5,0)),""))</f>
        <v/>
      </c>
      <c r="N316" s="16" t="str">
        <f aca="false">IF(OR(B316="",M316=""),"",B316+M316/24)</f>
        <v/>
      </c>
      <c r="O316" s="12"/>
      <c r="P316" s="12"/>
      <c r="Q316" s="18"/>
      <c r="R316" s="17" t="str">
        <f aca="false">IF(OR(B316="",Q316=""),"",(Q316-B316)*24)</f>
        <v/>
      </c>
      <c r="S316" s="11" t="str">
        <f aca="false">IF(OR(N316="",Q316=""),"",IF(Q316&lt;=N316,"Sim","Não"))</f>
        <v/>
      </c>
      <c r="T316" s="19"/>
      <c r="U316" s="12"/>
      <c r="V316" s="12"/>
    </row>
    <row r="317" customFormat="false" ht="15" hidden="false" customHeight="false" outlineLevel="0" collapsed="false">
      <c r="A317" s="12"/>
      <c r="B317" s="18"/>
      <c r="C317" s="12"/>
      <c r="D317" s="11" t="str">
        <f aca="false">IF(C317="","",IFERROR(INDEX(Unidades!$B$2:$B$218,MATCH(C317,Unidades!$A$2:$A$218,0)),"Código não encontrado"))</f>
        <v/>
      </c>
      <c r="E317" s="11" t="str">
        <f aca="false">IF(C317="","",IFERROR(INDEX(Unidades!$C$2:$C$218,MATCH(C317,Unidades!$A$2:$A$218,0)),""))</f>
        <v/>
      </c>
      <c r="F317" s="12"/>
      <c r="G317" s="12"/>
      <c r="H317" s="12"/>
      <c r="I317" s="12"/>
      <c r="J317" s="12"/>
      <c r="K317" s="19"/>
      <c r="L317" s="12"/>
      <c r="M317" s="11" t="str">
        <f aca="false">IF(L317="","",IFERROR(INDEX(Prioridade_SLA!$B$2:$B$5,MATCH(L317,Prioridade_SLA!$A$2:$A$5,0)),""))</f>
        <v/>
      </c>
      <c r="N317" s="16" t="str">
        <f aca="false">IF(OR(B317="",M317=""),"",B317+M317/24)</f>
        <v/>
      </c>
      <c r="O317" s="12"/>
      <c r="P317" s="12"/>
      <c r="Q317" s="18"/>
      <c r="R317" s="17" t="str">
        <f aca="false">IF(OR(B317="",Q317=""),"",(Q317-B317)*24)</f>
        <v/>
      </c>
      <c r="S317" s="11" t="str">
        <f aca="false">IF(OR(N317="",Q317=""),"",IF(Q317&lt;=N317,"Sim","Não"))</f>
        <v/>
      </c>
      <c r="T317" s="19"/>
      <c r="U317" s="12"/>
      <c r="V317" s="12"/>
    </row>
    <row r="318" customFormat="false" ht="15" hidden="false" customHeight="false" outlineLevel="0" collapsed="false">
      <c r="A318" s="12"/>
      <c r="B318" s="18"/>
      <c r="C318" s="12"/>
      <c r="D318" s="11" t="str">
        <f aca="false">IF(C318="","",IFERROR(INDEX(Unidades!$B$2:$B$218,MATCH(C318,Unidades!$A$2:$A$218,0)),"Código não encontrado"))</f>
        <v/>
      </c>
      <c r="E318" s="11" t="str">
        <f aca="false">IF(C318="","",IFERROR(INDEX(Unidades!$C$2:$C$218,MATCH(C318,Unidades!$A$2:$A$218,0)),""))</f>
        <v/>
      </c>
      <c r="F318" s="12"/>
      <c r="G318" s="12"/>
      <c r="H318" s="12"/>
      <c r="I318" s="12"/>
      <c r="J318" s="12"/>
      <c r="K318" s="19"/>
      <c r="L318" s="12"/>
      <c r="M318" s="11" t="str">
        <f aca="false">IF(L318="","",IFERROR(INDEX(Prioridade_SLA!$B$2:$B$5,MATCH(L318,Prioridade_SLA!$A$2:$A$5,0)),""))</f>
        <v/>
      </c>
      <c r="N318" s="16" t="str">
        <f aca="false">IF(OR(B318="",M318=""),"",B318+M318/24)</f>
        <v/>
      </c>
      <c r="O318" s="12"/>
      <c r="P318" s="12"/>
      <c r="Q318" s="18"/>
      <c r="R318" s="17" t="str">
        <f aca="false">IF(OR(B318="",Q318=""),"",(Q318-B318)*24)</f>
        <v/>
      </c>
      <c r="S318" s="11" t="str">
        <f aca="false">IF(OR(N318="",Q318=""),"",IF(Q318&lt;=N318,"Sim","Não"))</f>
        <v/>
      </c>
      <c r="T318" s="19"/>
      <c r="U318" s="12"/>
      <c r="V318" s="12"/>
    </row>
    <row r="319" customFormat="false" ht="15" hidden="false" customHeight="false" outlineLevel="0" collapsed="false">
      <c r="A319" s="12"/>
      <c r="B319" s="18"/>
      <c r="C319" s="12"/>
      <c r="D319" s="11" t="str">
        <f aca="false">IF(C319="","",IFERROR(INDEX(Unidades!$B$2:$B$218,MATCH(C319,Unidades!$A$2:$A$218,0)),"Código não encontrado"))</f>
        <v/>
      </c>
      <c r="E319" s="11" t="str">
        <f aca="false">IF(C319="","",IFERROR(INDEX(Unidades!$C$2:$C$218,MATCH(C319,Unidades!$A$2:$A$218,0)),""))</f>
        <v/>
      </c>
      <c r="F319" s="12"/>
      <c r="G319" s="12"/>
      <c r="H319" s="12"/>
      <c r="I319" s="12"/>
      <c r="J319" s="12"/>
      <c r="K319" s="19"/>
      <c r="L319" s="12"/>
      <c r="M319" s="11" t="str">
        <f aca="false">IF(L319="","",IFERROR(INDEX(Prioridade_SLA!$B$2:$B$5,MATCH(L319,Prioridade_SLA!$A$2:$A$5,0)),""))</f>
        <v/>
      </c>
      <c r="N319" s="16" t="str">
        <f aca="false">IF(OR(B319="",M319=""),"",B319+M319/24)</f>
        <v/>
      </c>
      <c r="O319" s="12"/>
      <c r="P319" s="12"/>
      <c r="Q319" s="18"/>
      <c r="R319" s="17" t="str">
        <f aca="false">IF(OR(B319="",Q319=""),"",(Q319-B319)*24)</f>
        <v/>
      </c>
      <c r="S319" s="11" t="str">
        <f aca="false">IF(OR(N319="",Q319=""),"",IF(Q319&lt;=N319,"Sim","Não"))</f>
        <v/>
      </c>
      <c r="T319" s="19"/>
      <c r="U319" s="12"/>
      <c r="V319" s="12"/>
    </row>
    <row r="320" customFormat="false" ht="15" hidden="false" customHeight="false" outlineLevel="0" collapsed="false">
      <c r="A320" s="12"/>
      <c r="B320" s="18"/>
      <c r="C320" s="12"/>
      <c r="D320" s="11" t="str">
        <f aca="false">IF(C320="","",IFERROR(INDEX(Unidades!$B$2:$B$218,MATCH(C320,Unidades!$A$2:$A$218,0)),"Código não encontrado"))</f>
        <v/>
      </c>
      <c r="E320" s="11" t="str">
        <f aca="false">IF(C320="","",IFERROR(INDEX(Unidades!$C$2:$C$218,MATCH(C320,Unidades!$A$2:$A$218,0)),""))</f>
        <v/>
      </c>
      <c r="F320" s="12"/>
      <c r="G320" s="12"/>
      <c r="H320" s="12"/>
      <c r="I320" s="12"/>
      <c r="J320" s="12"/>
      <c r="K320" s="19"/>
      <c r="L320" s="12"/>
      <c r="M320" s="11" t="str">
        <f aca="false">IF(L320="","",IFERROR(INDEX(Prioridade_SLA!$B$2:$B$5,MATCH(L320,Prioridade_SLA!$A$2:$A$5,0)),""))</f>
        <v/>
      </c>
      <c r="N320" s="16" t="str">
        <f aca="false">IF(OR(B320="",M320=""),"",B320+M320/24)</f>
        <v/>
      </c>
      <c r="O320" s="12"/>
      <c r="P320" s="12"/>
      <c r="Q320" s="18"/>
      <c r="R320" s="17" t="str">
        <f aca="false">IF(OR(B320="",Q320=""),"",(Q320-B320)*24)</f>
        <v/>
      </c>
      <c r="S320" s="11" t="str">
        <f aca="false">IF(OR(N320="",Q320=""),"",IF(Q320&lt;=N320,"Sim","Não"))</f>
        <v/>
      </c>
      <c r="T320" s="19"/>
      <c r="U320" s="12"/>
      <c r="V320" s="12"/>
    </row>
    <row r="321" customFormat="false" ht="15" hidden="false" customHeight="false" outlineLevel="0" collapsed="false">
      <c r="A321" s="12"/>
      <c r="B321" s="18"/>
      <c r="C321" s="12"/>
      <c r="D321" s="11" t="str">
        <f aca="false">IF(C321="","",IFERROR(INDEX(Unidades!$B$2:$B$218,MATCH(C321,Unidades!$A$2:$A$218,0)),"Código não encontrado"))</f>
        <v/>
      </c>
      <c r="E321" s="11" t="str">
        <f aca="false">IF(C321="","",IFERROR(INDEX(Unidades!$C$2:$C$218,MATCH(C321,Unidades!$A$2:$A$218,0)),""))</f>
        <v/>
      </c>
      <c r="F321" s="12"/>
      <c r="G321" s="12"/>
      <c r="H321" s="12"/>
      <c r="I321" s="12"/>
      <c r="J321" s="12"/>
      <c r="K321" s="19"/>
      <c r="L321" s="12"/>
      <c r="M321" s="11" t="str">
        <f aca="false">IF(L321="","",IFERROR(INDEX(Prioridade_SLA!$B$2:$B$5,MATCH(L321,Prioridade_SLA!$A$2:$A$5,0)),""))</f>
        <v/>
      </c>
      <c r="N321" s="16" t="str">
        <f aca="false">IF(OR(B321="",M321=""),"",B321+M321/24)</f>
        <v/>
      </c>
      <c r="O321" s="12"/>
      <c r="P321" s="12"/>
      <c r="Q321" s="18"/>
      <c r="R321" s="17" t="str">
        <f aca="false">IF(OR(B321="",Q321=""),"",(Q321-B321)*24)</f>
        <v/>
      </c>
      <c r="S321" s="11" t="str">
        <f aca="false">IF(OR(N321="",Q321=""),"",IF(Q321&lt;=N321,"Sim","Não"))</f>
        <v/>
      </c>
      <c r="T321" s="19"/>
      <c r="U321" s="12"/>
      <c r="V321" s="12"/>
    </row>
    <row r="322" customFormat="false" ht="15" hidden="false" customHeight="false" outlineLevel="0" collapsed="false">
      <c r="A322" s="12"/>
      <c r="B322" s="18"/>
      <c r="C322" s="12"/>
      <c r="D322" s="11" t="str">
        <f aca="false">IF(C322="","",IFERROR(INDEX(Unidades!$B$2:$B$218,MATCH(C322,Unidades!$A$2:$A$218,0)),"Código não encontrado"))</f>
        <v/>
      </c>
      <c r="E322" s="11" t="str">
        <f aca="false">IF(C322="","",IFERROR(INDEX(Unidades!$C$2:$C$218,MATCH(C322,Unidades!$A$2:$A$218,0)),""))</f>
        <v/>
      </c>
      <c r="F322" s="12"/>
      <c r="G322" s="12"/>
      <c r="H322" s="12"/>
      <c r="I322" s="12"/>
      <c r="J322" s="12"/>
      <c r="K322" s="19"/>
      <c r="L322" s="12"/>
      <c r="M322" s="11" t="str">
        <f aca="false">IF(L322="","",IFERROR(INDEX(Prioridade_SLA!$B$2:$B$5,MATCH(L322,Prioridade_SLA!$A$2:$A$5,0)),""))</f>
        <v/>
      </c>
      <c r="N322" s="16" t="str">
        <f aca="false">IF(OR(B322="",M322=""),"",B322+M322/24)</f>
        <v/>
      </c>
      <c r="O322" s="12"/>
      <c r="P322" s="12"/>
      <c r="Q322" s="18"/>
      <c r="R322" s="17" t="str">
        <f aca="false">IF(OR(B322="",Q322=""),"",(Q322-B322)*24)</f>
        <v/>
      </c>
      <c r="S322" s="11" t="str">
        <f aca="false">IF(OR(N322="",Q322=""),"",IF(Q322&lt;=N322,"Sim","Não"))</f>
        <v/>
      </c>
      <c r="T322" s="19"/>
      <c r="U322" s="12"/>
      <c r="V322" s="12"/>
    </row>
    <row r="323" customFormat="false" ht="15" hidden="false" customHeight="false" outlineLevel="0" collapsed="false">
      <c r="A323" s="12"/>
      <c r="B323" s="18"/>
      <c r="C323" s="12"/>
      <c r="D323" s="11" t="str">
        <f aca="false">IF(C323="","",IFERROR(INDEX(Unidades!$B$2:$B$218,MATCH(C323,Unidades!$A$2:$A$218,0)),"Código não encontrado"))</f>
        <v/>
      </c>
      <c r="E323" s="11" t="str">
        <f aca="false">IF(C323="","",IFERROR(INDEX(Unidades!$C$2:$C$218,MATCH(C323,Unidades!$A$2:$A$218,0)),""))</f>
        <v/>
      </c>
      <c r="F323" s="12"/>
      <c r="G323" s="12"/>
      <c r="H323" s="12"/>
      <c r="I323" s="12"/>
      <c r="J323" s="12"/>
      <c r="K323" s="19"/>
      <c r="L323" s="12"/>
      <c r="M323" s="11" t="str">
        <f aca="false">IF(L323="","",IFERROR(INDEX(Prioridade_SLA!$B$2:$B$5,MATCH(L323,Prioridade_SLA!$A$2:$A$5,0)),""))</f>
        <v/>
      </c>
      <c r="N323" s="16" t="str">
        <f aca="false">IF(OR(B323="",M323=""),"",B323+M323/24)</f>
        <v/>
      </c>
      <c r="O323" s="12"/>
      <c r="P323" s="12"/>
      <c r="Q323" s="18"/>
      <c r="R323" s="17" t="str">
        <f aca="false">IF(OR(B323="",Q323=""),"",(Q323-B323)*24)</f>
        <v/>
      </c>
      <c r="S323" s="11" t="str">
        <f aca="false">IF(OR(N323="",Q323=""),"",IF(Q323&lt;=N323,"Sim","Não"))</f>
        <v/>
      </c>
      <c r="T323" s="19"/>
      <c r="U323" s="12"/>
      <c r="V323" s="12"/>
    </row>
    <row r="324" customFormat="false" ht="15" hidden="false" customHeight="false" outlineLevel="0" collapsed="false">
      <c r="A324" s="12"/>
      <c r="B324" s="18"/>
      <c r="C324" s="12"/>
      <c r="D324" s="11" t="str">
        <f aca="false">IF(C324="","",IFERROR(INDEX(Unidades!$B$2:$B$218,MATCH(C324,Unidades!$A$2:$A$218,0)),"Código não encontrado"))</f>
        <v/>
      </c>
      <c r="E324" s="11" t="str">
        <f aca="false">IF(C324="","",IFERROR(INDEX(Unidades!$C$2:$C$218,MATCH(C324,Unidades!$A$2:$A$218,0)),""))</f>
        <v/>
      </c>
      <c r="F324" s="12"/>
      <c r="G324" s="12"/>
      <c r="H324" s="12"/>
      <c r="I324" s="12"/>
      <c r="J324" s="12"/>
      <c r="K324" s="19"/>
      <c r="L324" s="12"/>
      <c r="M324" s="11" t="str">
        <f aca="false">IF(L324="","",IFERROR(INDEX(Prioridade_SLA!$B$2:$B$5,MATCH(L324,Prioridade_SLA!$A$2:$A$5,0)),""))</f>
        <v/>
      </c>
      <c r="N324" s="16" t="str">
        <f aca="false">IF(OR(B324="",M324=""),"",B324+M324/24)</f>
        <v/>
      </c>
      <c r="O324" s="12"/>
      <c r="P324" s="12"/>
      <c r="Q324" s="18"/>
      <c r="R324" s="17" t="str">
        <f aca="false">IF(OR(B324="",Q324=""),"",(Q324-B324)*24)</f>
        <v/>
      </c>
      <c r="S324" s="11" t="str">
        <f aca="false">IF(OR(N324="",Q324=""),"",IF(Q324&lt;=N324,"Sim","Não"))</f>
        <v/>
      </c>
      <c r="T324" s="19"/>
      <c r="U324" s="12"/>
      <c r="V324" s="12"/>
    </row>
    <row r="325" customFormat="false" ht="15" hidden="false" customHeight="false" outlineLevel="0" collapsed="false">
      <c r="A325" s="12"/>
      <c r="B325" s="18"/>
      <c r="C325" s="12"/>
      <c r="D325" s="11" t="str">
        <f aca="false">IF(C325="","",IFERROR(INDEX(Unidades!$B$2:$B$218,MATCH(C325,Unidades!$A$2:$A$218,0)),"Código não encontrado"))</f>
        <v/>
      </c>
      <c r="E325" s="11" t="str">
        <f aca="false">IF(C325="","",IFERROR(INDEX(Unidades!$C$2:$C$218,MATCH(C325,Unidades!$A$2:$A$218,0)),""))</f>
        <v/>
      </c>
      <c r="F325" s="12"/>
      <c r="G325" s="12"/>
      <c r="H325" s="12"/>
      <c r="I325" s="12"/>
      <c r="J325" s="12"/>
      <c r="K325" s="19"/>
      <c r="L325" s="12"/>
      <c r="M325" s="11" t="str">
        <f aca="false">IF(L325="","",IFERROR(INDEX(Prioridade_SLA!$B$2:$B$5,MATCH(L325,Prioridade_SLA!$A$2:$A$5,0)),""))</f>
        <v/>
      </c>
      <c r="N325" s="16" t="str">
        <f aca="false">IF(OR(B325="",M325=""),"",B325+M325/24)</f>
        <v/>
      </c>
      <c r="O325" s="12"/>
      <c r="P325" s="12"/>
      <c r="Q325" s="18"/>
      <c r="R325" s="17" t="str">
        <f aca="false">IF(OR(B325="",Q325=""),"",(Q325-B325)*24)</f>
        <v/>
      </c>
      <c r="S325" s="11" t="str">
        <f aca="false">IF(OR(N325="",Q325=""),"",IF(Q325&lt;=N325,"Sim","Não"))</f>
        <v/>
      </c>
      <c r="T325" s="19"/>
      <c r="U325" s="12"/>
      <c r="V325" s="12"/>
    </row>
    <row r="326" customFormat="false" ht="15" hidden="false" customHeight="false" outlineLevel="0" collapsed="false">
      <c r="A326" s="12"/>
      <c r="B326" s="18"/>
      <c r="C326" s="12"/>
      <c r="D326" s="11" t="str">
        <f aca="false">IF(C326="","",IFERROR(INDEX(Unidades!$B$2:$B$218,MATCH(C326,Unidades!$A$2:$A$218,0)),"Código não encontrado"))</f>
        <v/>
      </c>
      <c r="E326" s="11" t="str">
        <f aca="false">IF(C326="","",IFERROR(INDEX(Unidades!$C$2:$C$218,MATCH(C326,Unidades!$A$2:$A$218,0)),""))</f>
        <v/>
      </c>
      <c r="F326" s="12"/>
      <c r="G326" s="12"/>
      <c r="H326" s="12"/>
      <c r="I326" s="12"/>
      <c r="J326" s="12"/>
      <c r="K326" s="19"/>
      <c r="L326" s="12"/>
      <c r="M326" s="11" t="str">
        <f aca="false">IF(L326="","",IFERROR(INDEX(Prioridade_SLA!$B$2:$B$5,MATCH(L326,Prioridade_SLA!$A$2:$A$5,0)),""))</f>
        <v/>
      </c>
      <c r="N326" s="16" t="str">
        <f aca="false">IF(OR(B326="",M326=""),"",B326+M326/24)</f>
        <v/>
      </c>
      <c r="O326" s="12"/>
      <c r="P326" s="12"/>
      <c r="Q326" s="18"/>
      <c r="R326" s="17" t="str">
        <f aca="false">IF(OR(B326="",Q326=""),"",(Q326-B326)*24)</f>
        <v/>
      </c>
      <c r="S326" s="11" t="str">
        <f aca="false">IF(OR(N326="",Q326=""),"",IF(Q326&lt;=N326,"Sim","Não"))</f>
        <v/>
      </c>
      <c r="T326" s="19"/>
      <c r="U326" s="12"/>
      <c r="V326" s="12"/>
    </row>
    <row r="327" customFormat="false" ht="15" hidden="false" customHeight="false" outlineLevel="0" collapsed="false">
      <c r="A327" s="12"/>
      <c r="B327" s="18"/>
      <c r="C327" s="12"/>
      <c r="D327" s="11" t="str">
        <f aca="false">IF(C327="","",IFERROR(INDEX(Unidades!$B$2:$B$218,MATCH(C327,Unidades!$A$2:$A$218,0)),"Código não encontrado"))</f>
        <v/>
      </c>
      <c r="E327" s="11" t="str">
        <f aca="false">IF(C327="","",IFERROR(INDEX(Unidades!$C$2:$C$218,MATCH(C327,Unidades!$A$2:$A$218,0)),""))</f>
        <v/>
      </c>
      <c r="F327" s="12"/>
      <c r="G327" s="12"/>
      <c r="H327" s="12"/>
      <c r="I327" s="12"/>
      <c r="J327" s="12"/>
      <c r="K327" s="19"/>
      <c r="L327" s="12"/>
      <c r="M327" s="11" t="str">
        <f aca="false">IF(L327="","",IFERROR(INDEX(Prioridade_SLA!$B$2:$B$5,MATCH(L327,Prioridade_SLA!$A$2:$A$5,0)),""))</f>
        <v/>
      </c>
      <c r="N327" s="16" t="str">
        <f aca="false">IF(OR(B327="",M327=""),"",B327+M327/24)</f>
        <v/>
      </c>
      <c r="O327" s="12"/>
      <c r="P327" s="12"/>
      <c r="Q327" s="18"/>
      <c r="R327" s="17" t="str">
        <f aca="false">IF(OR(B327="",Q327=""),"",(Q327-B327)*24)</f>
        <v/>
      </c>
      <c r="S327" s="11" t="str">
        <f aca="false">IF(OR(N327="",Q327=""),"",IF(Q327&lt;=N327,"Sim","Não"))</f>
        <v/>
      </c>
      <c r="T327" s="19"/>
      <c r="U327" s="12"/>
      <c r="V327" s="12"/>
    </row>
    <row r="328" customFormat="false" ht="15" hidden="false" customHeight="false" outlineLevel="0" collapsed="false">
      <c r="A328" s="12"/>
      <c r="B328" s="18"/>
      <c r="C328" s="12"/>
      <c r="D328" s="11" t="str">
        <f aca="false">IF(C328="","",IFERROR(INDEX(Unidades!$B$2:$B$218,MATCH(C328,Unidades!$A$2:$A$218,0)),"Código não encontrado"))</f>
        <v/>
      </c>
      <c r="E328" s="11" t="str">
        <f aca="false">IF(C328="","",IFERROR(INDEX(Unidades!$C$2:$C$218,MATCH(C328,Unidades!$A$2:$A$218,0)),""))</f>
        <v/>
      </c>
      <c r="F328" s="12"/>
      <c r="G328" s="12"/>
      <c r="H328" s="12"/>
      <c r="I328" s="12"/>
      <c r="J328" s="12"/>
      <c r="K328" s="19"/>
      <c r="L328" s="12"/>
      <c r="M328" s="11" t="str">
        <f aca="false">IF(L328="","",IFERROR(INDEX(Prioridade_SLA!$B$2:$B$5,MATCH(L328,Prioridade_SLA!$A$2:$A$5,0)),""))</f>
        <v/>
      </c>
      <c r="N328" s="16" t="str">
        <f aca="false">IF(OR(B328="",M328=""),"",B328+M328/24)</f>
        <v/>
      </c>
      <c r="O328" s="12"/>
      <c r="P328" s="12"/>
      <c r="Q328" s="18"/>
      <c r="R328" s="17" t="str">
        <f aca="false">IF(OR(B328="",Q328=""),"",(Q328-B328)*24)</f>
        <v/>
      </c>
      <c r="S328" s="11" t="str">
        <f aca="false">IF(OR(N328="",Q328=""),"",IF(Q328&lt;=N328,"Sim","Não"))</f>
        <v/>
      </c>
      <c r="T328" s="19"/>
      <c r="U328" s="12"/>
      <c r="V328" s="12"/>
    </row>
    <row r="329" customFormat="false" ht="15" hidden="false" customHeight="false" outlineLevel="0" collapsed="false">
      <c r="A329" s="12"/>
      <c r="B329" s="18"/>
      <c r="C329" s="12"/>
      <c r="D329" s="11" t="str">
        <f aca="false">IF(C329="","",IFERROR(INDEX(Unidades!$B$2:$B$218,MATCH(C329,Unidades!$A$2:$A$218,0)),"Código não encontrado"))</f>
        <v/>
      </c>
      <c r="E329" s="11" t="str">
        <f aca="false">IF(C329="","",IFERROR(INDEX(Unidades!$C$2:$C$218,MATCH(C329,Unidades!$A$2:$A$218,0)),""))</f>
        <v/>
      </c>
      <c r="F329" s="12"/>
      <c r="G329" s="12"/>
      <c r="H329" s="12"/>
      <c r="I329" s="12"/>
      <c r="J329" s="12"/>
      <c r="K329" s="19"/>
      <c r="L329" s="12"/>
      <c r="M329" s="11" t="str">
        <f aca="false">IF(L329="","",IFERROR(INDEX(Prioridade_SLA!$B$2:$B$5,MATCH(L329,Prioridade_SLA!$A$2:$A$5,0)),""))</f>
        <v/>
      </c>
      <c r="N329" s="16" t="str">
        <f aca="false">IF(OR(B329="",M329=""),"",B329+M329/24)</f>
        <v/>
      </c>
      <c r="O329" s="12"/>
      <c r="P329" s="12"/>
      <c r="Q329" s="18"/>
      <c r="R329" s="17" t="str">
        <f aca="false">IF(OR(B329="",Q329=""),"",(Q329-B329)*24)</f>
        <v/>
      </c>
      <c r="S329" s="11" t="str">
        <f aca="false">IF(OR(N329="",Q329=""),"",IF(Q329&lt;=N329,"Sim","Não"))</f>
        <v/>
      </c>
      <c r="T329" s="19"/>
      <c r="U329" s="12"/>
      <c r="V329" s="12"/>
    </row>
    <row r="330" customFormat="false" ht="15" hidden="false" customHeight="false" outlineLevel="0" collapsed="false">
      <c r="A330" s="12"/>
      <c r="B330" s="18"/>
      <c r="C330" s="12"/>
      <c r="D330" s="11" t="str">
        <f aca="false">IF(C330="","",IFERROR(INDEX(Unidades!$B$2:$B$218,MATCH(C330,Unidades!$A$2:$A$218,0)),"Código não encontrado"))</f>
        <v/>
      </c>
      <c r="E330" s="11" t="str">
        <f aca="false">IF(C330="","",IFERROR(INDEX(Unidades!$C$2:$C$218,MATCH(C330,Unidades!$A$2:$A$218,0)),""))</f>
        <v/>
      </c>
      <c r="F330" s="12"/>
      <c r="G330" s="12"/>
      <c r="H330" s="12"/>
      <c r="I330" s="12"/>
      <c r="J330" s="12"/>
      <c r="K330" s="19"/>
      <c r="L330" s="12"/>
      <c r="M330" s="11" t="str">
        <f aca="false">IF(L330="","",IFERROR(INDEX(Prioridade_SLA!$B$2:$B$5,MATCH(L330,Prioridade_SLA!$A$2:$A$5,0)),""))</f>
        <v/>
      </c>
      <c r="N330" s="16" t="str">
        <f aca="false">IF(OR(B330="",M330=""),"",B330+M330/24)</f>
        <v/>
      </c>
      <c r="O330" s="12"/>
      <c r="P330" s="12"/>
      <c r="Q330" s="18"/>
      <c r="R330" s="17" t="str">
        <f aca="false">IF(OR(B330="",Q330=""),"",(Q330-B330)*24)</f>
        <v/>
      </c>
      <c r="S330" s="11" t="str">
        <f aca="false">IF(OR(N330="",Q330=""),"",IF(Q330&lt;=N330,"Sim","Não"))</f>
        <v/>
      </c>
      <c r="T330" s="19"/>
      <c r="U330" s="12"/>
      <c r="V330" s="12"/>
    </row>
    <row r="331" customFormat="false" ht="15" hidden="false" customHeight="false" outlineLevel="0" collapsed="false">
      <c r="A331" s="12"/>
      <c r="B331" s="18"/>
      <c r="C331" s="12"/>
      <c r="D331" s="11" t="str">
        <f aca="false">IF(C331="","",IFERROR(INDEX(Unidades!$B$2:$B$218,MATCH(C331,Unidades!$A$2:$A$218,0)),"Código não encontrado"))</f>
        <v/>
      </c>
      <c r="E331" s="11" t="str">
        <f aca="false">IF(C331="","",IFERROR(INDEX(Unidades!$C$2:$C$218,MATCH(C331,Unidades!$A$2:$A$218,0)),""))</f>
        <v/>
      </c>
      <c r="F331" s="12"/>
      <c r="G331" s="12"/>
      <c r="H331" s="12"/>
      <c r="I331" s="12"/>
      <c r="J331" s="12"/>
      <c r="K331" s="19"/>
      <c r="L331" s="12"/>
      <c r="M331" s="11" t="str">
        <f aca="false">IF(L331="","",IFERROR(INDEX(Prioridade_SLA!$B$2:$B$5,MATCH(L331,Prioridade_SLA!$A$2:$A$5,0)),""))</f>
        <v/>
      </c>
      <c r="N331" s="16" t="str">
        <f aca="false">IF(OR(B331="",M331=""),"",B331+M331/24)</f>
        <v/>
      </c>
      <c r="O331" s="12"/>
      <c r="P331" s="12"/>
      <c r="Q331" s="18"/>
      <c r="R331" s="17" t="str">
        <f aca="false">IF(OR(B331="",Q331=""),"",(Q331-B331)*24)</f>
        <v/>
      </c>
      <c r="S331" s="11" t="str">
        <f aca="false">IF(OR(N331="",Q331=""),"",IF(Q331&lt;=N331,"Sim","Não"))</f>
        <v/>
      </c>
      <c r="T331" s="19"/>
      <c r="U331" s="12"/>
      <c r="V331" s="12"/>
    </row>
    <row r="332" customFormat="false" ht="15" hidden="false" customHeight="false" outlineLevel="0" collapsed="false">
      <c r="A332" s="12"/>
      <c r="B332" s="18"/>
      <c r="C332" s="12"/>
      <c r="D332" s="11" t="str">
        <f aca="false">IF(C332="","",IFERROR(INDEX(Unidades!$B$2:$B$218,MATCH(C332,Unidades!$A$2:$A$218,0)),"Código não encontrado"))</f>
        <v/>
      </c>
      <c r="E332" s="11" t="str">
        <f aca="false">IF(C332="","",IFERROR(INDEX(Unidades!$C$2:$C$218,MATCH(C332,Unidades!$A$2:$A$218,0)),""))</f>
        <v/>
      </c>
      <c r="F332" s="12"/>
      <c r="G332" s="12"/>
      <c r="H332" s="12"/>
      <c r="I332" s="12"/>
      <c r="J332" s="12"/>
      <c r="K332" s="19"/>
      <c r="L332" s="12"/>
      <c r="M332" s="11" t="str">
        <f aca="false">IF(L332="","",IFERROR(INDEX(Prioridade_SLA!$B$2:$B$5,MATCH(L332,Prioridade_SLA!$A$2:$A$5,0)),""))</f>
        <v/>
      </c>
      <c r="N332" s="16" t="str">
        <f aca="false">IF(OR(B332="",M332=""),"",B332+M332/24)</f>
        <v/>
      </c>
      <c r="O332" s="12"/>
      <c r="P332" s="12"/>
      <c r="Q332" s="18"/>
      <c r="R332" s="17" t="str">
        <f aca="false">IF(OR(B332="",Q332=""),"",(Q332-B332)*24)</f>
        <v/>
      </c>
      <c r="S332" s="11" t="str">
        <f aca="false">IF(OR(N332="",Q332=""),"",IF(Q332&lt;=N332,"Sim","Não"))</f>
        <v/>
      </c>
      <c r="T332" s="19"/>
      <c r="U332" s="12"/>
      <c r="V332" s="12"/>
    </row>
    <row r="333" customFormat="false" ht="15" hidden="false" customHeight="false" outlineLevel="0" collapsed="false">
      <c r="A333" s="12"/>
      <c r="B333" s="18"/>
      <c r="C333" s="12"/>
      <c r="D333" s="11" t="str">
        <f aca="false">IF(C333="","",IFERROR(INDEX(Unidades!$B$2:$B$218,MATCH(C333,Unidades!$A$2:$A$218,0)),"Código não encontrado"))</f>
        <v/>
      </c>
      <c r="E333" s="11" t="str">
        <f aca="false">IF(C333="","",IFERROR(INDEX(Unidades!$C$2:$C$218,MATCH(C333,Unidades!$A$2:$A$218,0)),""))</f>
        <v/>
      </c>
      <c r="F333" s="12"/>
      <c r="G333" s="12"/>
      <c r="H333" s="12"/>
      <c r="I333" s="12"/>
      <c r="J333" s="12"/>
      <c r="K333" s="19"/>
      <c r="L333" s="12"/>
      <c r="M333" s="11" t="str">
        <f aca="false">IF(L333="","",IFERROR(INDEX(Prioridade_SLA!$B$2:$B$5,MATCH(L333,Prioridade_SLA!$A$2:$A$5,0)),""))</f>
        <v/>
      </c>
      <c r="N333" s="16" t="str">
        <f aca="false">IF(OR(B333="",M333=""),"",B333+M333/24)</f>
        <v/>
      </c>
      <c r="O333" s="12"/>
      <c r="P333" s="12"/>
      <c r="Q333" s="18"/>
      <c r="R333" s="17" t="str">
        <f aca="false">IF(OR(B333="",Q333=""),"",(Q333-B333)*24)</f>
        <v/>
      </c>
      <c r="S333" s="11" t="str">
        <f aca="false">IF(OR(N333="",Q333=""),"",IF(Q333&lt;=N333,"Sim","Não"))</f>
        <v/>
      </c>
      <c r="T333" s="19"/>
      <c r="U333" s="12"/>
      <c r="V333" s="12"/>
    </row>
    <row r="334" customFormat="false" ht="15" hidden="false" customHeight="false" outlineLevel="0" collapsed="false">
      <c r="A334" s="12"/>
      <c r="B334" s="18"/>
      <c r="C334" s="12"/>
      <c r="D334" s="11" t="str">
        <f aca="false">IF(C334="","",IFERROR(INDEX(Unidades!$B$2:$B$218,MATCH(C334,Unidades!$A$2:$A$218,0)),"Código não encontrado"))</f>
        <v/>
      </c>
      <c r="E334" s="11" t="str">
        <f aca="false">IF(C334="","",IFERROR(INDEX(Unidades!$C$2:$C$218,MATCH(C334,Unidades!$A$2:$A$218,0)),""))</f>
        <v/>
      </c>
      <c r="F334" s="12"/>
      <c r="G334" s="12"/>
      <c r="H334" s="12"/>
      <c r="I334" s="12"/>
      <c r="J334" s="12"/>
      <c r="K334" s="19"/>
      <c r="L334" s="12"/>
      <c r="M334" s="11" t="str">
        <f aca="false">IF(L334="","",IFERROR(INDEX(Prioridade_SLA!$B$2:$B$5,MATCH(L334,Prioridade_SLA!$A$2:$A$5,0)),""))</f>
        <v/>
      </c>
      <c r="N334" s="16" t="str">
        <f aca="false">IF(OR(B334="",M334=""),"",B334+M334/24)</f>
        <v/>
      </c>
      <c r="O334" s="12"/>
      <c r="P334" s="12"/>
      <c r="Q334" s="18"/>
      <c r="R334" s="17" t="str">
        <f aca="false">IF(OR(B334="",Q334=""),"",(Q334-B334)*24)</f>
        <v/>
      </c>
      <c r="S334" s="11" t="str">
        <f aca="false">IF(OR(N334="",Q334=""),"",IF(Q334&lt;=N334,"Sim","Não"))</f>
        <v/>
      </c>
      <c r="T334" s="19"/>
      <c r="U334" s="12"/>
      <c r="V334" s="12"/>
    </row>
    <row r="335" customFormat="false" ht="15" hidden="false" customHeight="false" outlineLevel="0" collapsed="false">
      <c r="A335" s="12"/>
      <c r="B335" s="18"/>
      <c r="C335" s="12"/>
      <c r="D335" s="11" t="str">
        <f aca="false">IF(C335="","",IFERROR(INDEX(Unidades!$B$2:$B$218,MATCH(C335,Unidades!$A$2:$A$218,0)),"Código não encontrado"))</f>
        <v/>
      </c>
      <c r="E335" s="11" t="str">
        <f aca="false">IF(C335="","",IFERROR(INDEX(Unidades!$C$2:$C$218,MATCH(C335,Unidades!$A$2:$A$218,0)),""))</f>
        <v/>
      </c>
      <c r="F335" s="12"/>
      <c r="G335" s="12"/>
      <c r="H335" s="12"/>
      <c r="I335" s="12"/>
      <c r="J335" s="12"/>
      <c r="K335" s="19"/>
      <c r="L335" s="12"/>
      <c r="M335" s="11" t="str">
        <f aca="false">IF(L335="","",IFERROR(INDEX(Prioridade_SLA!$B$2:$B$5,MATCH(L335,Prioridade_SLA!$A$2:$A$5,0)),""))</f>
        <v/>
      </c>
      <c r="N335" s="16" t="str">
        <f aca="false">IF(OR(B335="",M335=""),"",B335+M335/24)</f>
        <v/>
      </c>
      <c r="O335" s="12"/>
      <c r="P335" s="12"/>
      <c r="Q335" s="18"/>
      <c r="R335" s="17" t="str">
        <f aca="false">IF(OR(B335="",Q335=""),"",(Q335-B335)*24)</f>
        <v/>
      </c>
      <c r="S335" s="11" t="str">
        <f aca="false">IF(OR(N335="",Q335=""),"",IF(Q335&lt;=N335,"Sim","Não"))</f>
        <v/>
      </c>
      <c r="T335" s="19"/>
      <c r="U335" s="12"/>
      <c r="V335" s="12"/>
    </row>
    <row r="336" customFormat="false" ht="15" hidden="false" customHeight="false" outlineLevel="0" collapsed="false">
      <c r="A336" s="12"/>
      <c r="B336" s="18"/>
      <c r="C336" s="12"/>
      <c r="D336" s="11" t="str">
        <f aca="false">IF(C336="","",IFERROR(INDEX(Unidades!$B$2:$B$218,MATCH(C336,Unidades!$A$2:$A$218,0)),"Código não encontrado"))</f>
        <v/>
      </c>
      <c r="E336" s="11" t="str">
        <f aca="false">IF(C336="","",IFERROR(INDEX(Unidades!$C$2:$C$218,MATCH(C336,Unidades!$A$2:$A$218,0)),""))</f>
        <v/>
      </c>
      <c r="F336" s="12"/>
      <c r="G336" s="12"/>
      <c r="H336" s="12"/>
      <c r="I336" s="12"/>
      <c r="J336" s="12"/>
      <c r="K336" s="19"/>
      <c r="L336" s="12"/>
      <c r="M336" s="11" t="str">
        <f aca="false">IF(L336="","",IFERROR(INDEX(Prioridade_SLA!$B$2:$B$5,MATCH(L336,Prioridade_SLA!$A$2:$A$5,0)),""))</f>
        <v/>
      </c>
      <c r="N336" s="16" t="str">
        <f aca="false">IF(OR(B336="",M336=""),"",B336+M336/24)</f>
        <v/>
      </c>
      <c r="O336" s="12"/>
      <c r="P336" s="12"/>
      <c r="Q336" s="18"/>
      <c r="R336" s="17" t="str">
        <f aca="false">IF(OR(B336="",Q336=""),"",(Q336-B336)*24)</f>
        <v/>
      </c>
      <c r="S336" s="11" t="str">
        <f aca="false">IF(OR(N336="",Q336=""),"",IF(Q336&lt;=N336,"Sim","Não"))</f>
        <v/>
      </c>
      <c r="T336" s="19"/>
      <c r="U336" s="12"/>
      <c r="V336" s="12"/>
    </row>
    <row r="337" customFormat="false" ht="15" hidden="false" customHeight="false" outlineLevel="0" collapsed="false">
      <c r="A337" s="12"/>
      <c r="B337" s="18"/>
      <c r="C337" s="12"/>
      <c r="D337" s="11" t="str">
        <f aca="false">IF(C337="","",IFERROR(INDEX(Unidades!$B$2:$B$218,MATCH(C337,Unidades!$A$2:$A$218,0)),"Código não encontrado"))</f>
        <v/>
      </c>
      <c r="E337" s="11" t="str">
        <f aca="false">IF(C337="","",IFERROR(INDEX(Unidades!$C$2:$C$218,MATCH(C337,Unidades!$A$2:$A$218,0)),""))</f>
        <v/>
      </c>
      <c r="F337" s="12"/>
      <c r="G337" s="12"/>
      <c r="H337" s="12"/>
      <c r="I337" s="12"/>
      <c r="J337" s="12"/>
      <c r="K337" s="19"/>
      <c r="L337" s="12"/>
      <c r="M337" s="11" t="str">
        <f aca="false">IF(L337="","",IFERROR(INDEX(Prioridade_SLA!$B$2:$B$5,MATCH(L337,Prioridade_SLA!$A$2:$A$5,0)),""))</f>
        <v/>
      </c>
      <c r="N337" s="16" t="str">
        <f aca="false">IF(OR(B337="",M337=""),"",B337+M337/24)</f>
        <v/>
      </c>
      <c r="O337" s="12"/>
      <c r="P337" s="12"/>
      <c r="Q337" s="18"/>
      <c r="R337" s="17" t="str">
        <f aca="false">IF(OR(B337="",Q337=""),"",(Q337-B337)*24)</f>
        <v/>
      </c>
      <c r="S337" s="11" t="str">
        <f aca="false">IF(OR(N337="",Q337=""),"",IF(Q337&lt;=N337,"Sim","Não"))</f>
        <v/>
      </c>
      <c r="T337" s="19"/>
      <c r="U337" s="12"/>
      <c r="V337" s="12"/>
    </row>
    <row r="338" customFormat="false" ht="15" hidden="false" customHeight="false" outlineLevel="0" collapsed="false">
      <c r="A338" s="12"/>
      <c r="B338" s="18"/>
      <c r="C338" s="12"/>
      <c r="D338" s="11" t="str">
        <f aca="false">IF(C338="","",IFERROR(INDEX(Unidades!$B$2:$B$218,MATCH(C338,Unidades!$A$2:$A$218,0)),"Código não encontrado"))</f>
        <v/>
      </c>
      <c r="E338" s="11" t="str">
        <f aca="false">IF(C338="","",IFERROR(INDEX(Unidades!$C$2:$C$218,MATCH(C338,Unidades!$A$2:$A$218,0)),""))</f>
        <v/>
      </c>
      <c r="F338" s="12"/>
      <c r="G338" s="12"/>
      <c r="H338" s="12"/>
      <c r="I338" s="12"/>
      <c r="J338" s="12"/>
      <c r="K338" s="19"/>
      <c r="L338" s="12"/>
      <c r="M338" s="11" t="str">
        <f aca="false">IF(L338="","",IFERROR(INDEX(Prioridade_SLA!$B$2:$B$5,MATCH(L338,Prioridade_SLA!$A$2:$A$5,0)),""))</f>
        <v/>
      </c>
      <c r="N338" s="16" t="str">
        <f aca="false">IF(OR(B338="",M338=""),"",B338+M338/24)</f>
        <v/>
      </c>
      <c r="O338" s="12"/>
      <c r="P338" s="12"/>
      <c r="Q338" s="18"/>
      <c r="R338" s="17" t="str">
        <f aca="false">IF(OR(B338="",Q338=""),"",(Q338-B338)*24)</f>
        <v/>
      </c>
      <c r="S338" s="11" t="str">
        <f aca="false">IF(OR(N338="",Q338=""),"",IF(Q338&lt;=N338,"Sim","Não"))</f>
        <v/>
      </c>
      <c r="T338" s="19"/>
      <c r="U338" s="12"/>
      <c r="V338" s="12"/>
    </row>
    <row r="339" customFormat="false" ht="15" hidden="false" customHeight="false" outlineLevel="0" collapsed="false">
      <c r="A339" s="12"/>
      <c r="B339" s="18"/>
      <c r="C339" s="12"/>
      <c r="D339" s="11" t="str">
        <f aca="false">IF(C339="","",IFERROR(INDEX(Unidades!$B$2:$B$218,MATCH(C339,Unidades!$A$2:$A$218,0)),"Código não encontrado"))</f>
        <v/>
      </c>
      <c r="E339" s="11" t="str">
        <f aca="false">IF(C339="","",IFERROR(INDEX(Unidades!$C$2:$C$218,MATCH(C339,Unidades!$A$2:$A$218,0)),""))</f>
        <v/>
      </c>
      <c r="F339" s="12"/>
      <c r="G339" s="12"/>
      <c r="H339" s="12"/>
      <c r="I339" s="12"/>
      <c r="J339" s="12"/>
      <c r="K339" s="19"/>
      <c r="L339" s="12"/>
      <c r="M339" s="11" t="str">
        <f aca="false">IF(L339="","",IFERROR(INDEX(Prioridade_SLA!$B$2:$B$5,MATCH(L339,Prioridade_SLA!$A$2:$A$5,0)),""))</f>
        <v/>
      </c>
      <c r="N339" s="16" t="str">
        <f aca="false">IF(OR(B339="",M339=""),"",B339+M339/24)</f>
        <v/>
      </c>
      <c r="O339" s="12"/>
      <c r="P339" s="12"/>
      <c r="Q339" s="18"/>
      <c r="R339" s="17" t="str">
        <f aca="false">IF(OR(B339="",Q339=""),"",(Q339-B339)*24)</f>
        <v/>
      </c>
      <c r="S339" s="11" t="str">
        <f aca="false">IF(OR(N339="",Q339=""),"",IF(Q339&lt;=N339,"Sim","Não"))</f>
        <v/>
      </c>
      <c r="T339" s="19"/>
      <c r="U339" s="12"/>
      <c r="V339" s="12"/>
    </row>
    <row r="340" customFormat="false" ht="15" hidden="false" customHeight="false" outlineLevel="0" collapsed="false">
      <c r="A340" s="12"/>
      <c r="B340" s="18"/>
      <c r="C340" s="12"/>
      <c r="D340" s="11" t="str">
        <f aca="false">IF(C340="","",IFERROR(INDEX(Unidades!$B$2:$B$218,MATCH(C340,Unidades!$A$2:$A$218,0)),"Código não encontrado"))</f>
        <v/>
      </c>
      <c r="E340" s="11" t="str">
        <f aca="false">IF(C340="","",IFERROR(INDEX(Unidades!$C$2:$C$218,MATCH(C340,Unidades!$A$2:$A$218,0)),""))</f>
        <v/>
      </c>
      <c r="F340" s="12"/>
      <c r="G340" s="12"/>
      <c r="H340" s="12"/>
      <c r="I340" s="12"/>
      <c r="J340" s="12"/>
      <c r="K340" s="19"/>
      <c r="L340" s="12"/>
      <c r="M340" s="11" t="str">
        <f aca="false">IF(L340="","",IFERROR(INDEX(Prioridade_SLA!$B$2:$B$5,MATCH(L340,Prioridade_SLA!$A$2:$A$5,0)),""))</f>
        <v/>
      </c>
      <c r="N340" s="16" t="str">
        <f aca="false">IF(OR(B340="",M340=""),"",B340+M340/24)</f>
        <v/>
      </c>
      <c r="O340" s="12"/>
      <c r="P340" s="12"/>
      <c r="Q340" s="18"/>
      <c r="R340" s="17" t="str">
        <f aca="false">IF(OR(B340="",Q340=""),"",(Q340-B340)*24)</f>
        <v/>
      </c>
      <c r="S340" s="11" t="str">
        <f aca="false">IF(OR(N340="",Q340=""),"",IF(Q340&lt;=N340,"Sim","Não"))</f>
        <v/>
      </c>
      <c r="T340" s="19"/>
      <c r="U340" s="12"/>
      <c r="V340" s="12"/>
    </row>
    <row r="341" customFormat="false" ht="15" hidden="false" customHeight="false" outlineLevel="0" collapsed="false">
      <c r="A341" s="12"/>
      <c r="B341" s="18"/>
      <c r="C341" s="12"/>
      <c r="D341" s="11" t="str">
        <f aca="false">IF(C341="","",IFERROR(INDEX(Unidades!$B$2:$B$218,MATCH(C341,Unidades!$A$2:$A$218,0)),"Código não encontrado"))</f>
        <v/>
      </c>
      <c r="E341" s="11" t="str">
        <f aca="false">IF(C341="","",IFERROR(INDEX(Unidades!$C$2:$C$218,MATCH(C341,Unidades!$A$2:$A$218,0)),""))</f>
        <v/>
      </c>
      <c r="F341" s="12"/>
      <c r="G341" s="12"/>
      <c r="H341" s="12"/>
      <c r="I341" s="12"/>
      <c r="J341" s="12"/>
      <c r="K341" s="19"/>
      <c r="L341" s="12"/>
      <c r="M341" s="11" t="str">
        <f aca="false">IF(L341="","",IFERROR(INDEX(Prioridade_SLA!$B$2:$B$5,MATCH(L341,Prioridade_SLA!$A$2:$A$5,0)),""))</f>
        <v/>
      </c>
      <c r="N341" s="16" t="str">
        <f aca="false">IF(OR(B341="",M341=""),"",B341+M341/24)</f>
        <v/>
      </c>
      <c r="O341" s="12"/>
      <c r="P341" s="12"/>
      <c r="Q341" s="18"/>
      <c r="R341" s="17" t="str">
        <f aca="false">IF(OR(B341="",Q341=""),"",(Q341-B341)*24)</f>
        <v/>
      </c>
      <c r="S341" s="11" t="str">
        <f aca="false">IF(OR(N341="",Q341=""),"",IF(Q341&lt;=N341,"Sim","Não"))</f>
        <v/>
      </c>
      <c r="T341" s="19"/>
      <c r="U341" s="12"/>
      <c r="V341" s="12"/>
    </row>
    <row r="342" customFormat="false" ht="15" hidden="false" customHeight="false" outlineLevel="0" collapsed="false">
      <c r="A342" s="12"/>
      <c r="B342" s="18"/>
      <c r="C342" s="12"/>
      <c r="D342" s="11" t="str">
        <f aca="false">IF(C342="","",IFERROR(INDEX(Unidades!$B$2:$B$218,MATCH(C342,Unidades!$A$2:$A$218,0)),"Código não encontrado"))</f>
        <v/>
      </c>
      <c r="E342" s="11" t="str">
        <f aca="false">IF(C342="","",IFERROR(INDEX(Unidades!$C$2:$C$218,MATCH(C342,Unidades!$A$2:$A$218,0)),""))</f>
        <v/>
      </c>
      <c r="F342" s="12"/>
      <c r="G342" s="12"/>
      <c r="H342" s="12"/>
      <c r="I342" s="12"/>
      <c r="J342" s="12"/>
      <c r="K342" s="19"/>
      <c r="L342" s="12"/>
      <c r="M342" s="11" t="str">
        <f aca="false">IF(L342="","",IFERROR(INDEX(Prioridade_SLA!$B$2:$B$5,MATCH(L342,Prioridade_SLA!$A$2:$A$5,0)),""))</f>
        <v/>
      </c>
      <c r="N342" s="16" t="str">
        <f aca="false">IF(OR(B342="",M342=""),"",B342+M342/24)</f>
        <v/>
      </c>
      <c r="O342" s="12"/>
      <c r="P342" s="12"/>
      <c r="Q342" s="18"/>
      <c r="R342" s="17" t="str">
        <f aca="false">IF(OR(B342="",Q342=""),"",(Q342-B342)*24)</f>
        <v/>
      </c>
      <c r="S342" s="11" t="str">
        <f aca="false">IF(OR(N342="",Q342=""),"",IF(Q342&lt;=N342,"Sim","Não"))</f>
        <v/>
      </c>
      <c r="T342" s="19"/>
      <c r="U342" s="12"/>
      <c r="V342" s="12"/>
    </row>
    <row r="343" customFormat="false" ht="15" hidden="false" customHeight="false" outlineLevel="0" collapsed="false">
      <c r="A343" s="12"/>
      <c r="B343" s="18"/>
      <c r="C343" s="12"/>
      <c r="D343" s="11" t="str">
        <f aca="false">IF(C343="","",IFERROR(INDEX(Unidades!$B$2:$B$218,MATCH(C343,Unidades!$A$2:$A$218,0)),"Código não encontrado"))</f>
        <v/>
      </c>
      <c r="E343" s="11" t="str">
        <f aca="false">IF(C343="","",IFERROR(INDEX(Unidades!$C$2:$C$218,MATCH(C343,Unidades!$A$2:$A$218,0)),""))</f>
        <v/>
      </c>
      <c r="F343" s="12"/>
      <c r="G343" s="12"/>
      <c r="H343" s="12"/>
      <c r="I343" s="12"/>
      <c r="J343" s="12"/>
      <c r="K343" s="19"/>
      <c r="L343" s="12"/>
      <c r="M343" s="11" t="str">
        <f aca="false">IF(L343="","",IFERROR(INDEX(Prioridade_SLA!$B$2:$B$5,MATCH(L343,Prioridade_SLA!$A$2:$A$5,0)),""))</f>
        <v/>
      </c>
      <c r="N343" s="16" t="str">
        <f aca="false">IF(OR(B343="",M343=""),"",B343+M343/24)</f>
        <v/>
      </c>
      <c r="O343" s="12"/>
      <c r="P343" s="12"/>
      <c r="Q343" s="18"/>
      <c r="R343" s="17" t="str">
        <f aca="false">IF(OR(B343="",Q343=""),"",(Q343-B343)*24)</f>
        <v/>
      </c>
      <c r="S343" s="11" t="str">
        <f aca="false">IF(OR(N343="",Q343=""),"",IF(Q343&lt;=N343,"Sim","Não"))</f>
        <v/>
      </c>
      <c r="T343" s="19"/>
      <c r="U343" s="12"/>
      <c r="V343" s="12"/>
    </row>
    <row r="344" customFormat="false" ht="15" hidden="false" customHeight="false" outlineLevel="0" collapsed="false">
      <c r="A344" s="12"/>
      <c r="B344" s="18"/>
      <c r="C344" s="12"/>
      <c r="D344" s="11" t="str">
        <f aca="false">IF(C344="","",IFERROR(INDEX(Unidades!$B$2:$B$218,MATCH(C344,Unidades!$A$2:$A$218,0)),"Código não encontrado"))</f>
        <v/>
      </c>
      <c r="E344" s="11" t="str">
        <f aca="false">IF(C344="","",IFERROR(INDEX(Unidades!$C$2:$C$218,MATCH(C344,Unidades!$A$2:$A$218,0)),""))</f>
        <v/>
      </c>
      <c r="F344" s="12"/>
      <c r="G344" s="12"/>
      <c r="H344" s="12"/>
      <c r="I344" s="12"/>
      <c r="J344" s="12"/>
      <c r="K344" s="19"/>
      <c r="L344" s="12"/>
      <c r="M344" s="11" t="str">
        <f aca="false">IF(L344="","",IFERROR(INDEX(Prioridade_SLA!$B$2:$B$5,MATCH(L344,Prioridade_SLA!$A$2:$A$5,0)),""))</f>
        <v/>
      </c>
      <c r="N344" s="16" t="str">
        <f aca="false">IF(OR(B344="",M344=""),"",B344+M344/24)</f>
        <v/>
      </c>
      <c r="O344" s="12"/>
      <c r="P344" s="12"/>
      <c r="Q344" s="18"/>
      <c r="R344" s="17" t="str">
        <f aca="false">IF(OR(B344="",Q344=""),"",(Q344-B344)*24)</f>
        <v/>
      </c>
      <c r="S344" s="11" t="str">
        <f aca="false">IF(OR(N344="",Q344=""),"",IF(Q344&lt;=N344,"Sim","Não"))</f>
        <v/>
      </c>
      <c r="T344" s="19"/>
      <c r="U344" s="12"/>
      <c r="V344" s="12"/>
    </row>
    <row r="345" customFormat="false" ht="15" hidden="false" customHeight="false" outlineLevel="0" collapsed="false">
      <c r="A345" s="12"/>
      <c r="B345" s="18"/>
      <c r="C345" s="12"/>
      <c r="D345" s="11" t="str">
        <f aca="false">IF(C345="","",IFERROR(INDEX(Unidades!$B$2:$B$218,MATCH(C345,Unidades!$A$2:$A$218,0)),"Código não encontrado"))</f>
        <v/>
      </c>
      <c r="E345" s="11" t="str">
        <f aca="false">IF(C345="","",IFERROR(INDEX(Unidades!$C$2:$C$218,MATCH(C345,Unidades!$A$2:$A$218,0)),""))</f>
        <v/>
      </c>
      <c r="F345" s="12"/>
      <c r="G345" s="12"/>
      <c r="H345" s="12"/>
      <c r="I345" s="12"/>
      <c r="J345" s="12"/>
      <c r="K345" s="19"/>
      <c r="L345" s="12"/>
      <c r="M345" s="11" t="str">
        <f aca="false">IF(L345="","",IFERROR(INDEX(Prioridade_SLA!$B$2:$B$5,MATCH(L345,Prioridade_SLA!$A$2:$A$5,0)),""))</f>
        <v/>
      </c>
      <c r="N345" s="16" t="str">
        <f aca="false">IF(OR(B345="",M345=""),"",B345+M345/24)</f>
        <v/>
      </c>
      <c r="O345" s="12"/>
      <c r="P345" s="12"/>
      <c r="Q345" s="18"/>
      <c r="R345" s="17" t="str">
        <f aca="false">IF(OR(B345="",Q345=""),"",(Q345-B345)*24)</f>
        <v/>
      </c>
      <c r="S345" s="11" t="str">
        <f aca="false">IF(OR(N345="",Q345=""),"",IF(Q345&lt;=N345,"Sim","Não"))</f>
        <v/>
      </c>
      <c r="T345" s="19"/>
      <c r="U345" s="12"/>
      <c r="V345" s="12"/>
    </row>
    <row r="346" customFormat="false" ht="15" hidden="false" customHeight="false" outlineLevel="0" collapsed="false">
      <c r="A346" s="12"/>
      <c r="B346" s="18"/>
      <c r="C346" s="12"/>
      <c r="D346" s="11" t="str">
        <f aca="false">IF(C346="","",IFERROR(INDEX(Unidades!$B$2:$B$218,MATCH(C346,Unidades!$A$2:$A$218,0)),"Código não encontrado"))</f>
        <v/>
      </c>
      <c r="E346" s="11" t="str">
        <f aca="false">IF(C346="","",IFERROR(INDEX(Unidades!$C$2:$C$218,MATCH(C346,Unidades!$A$2:$A$218,0)),""))</f>
        <v/>
      </c>
      <c r="F346" s="12"/>
      <c r="G346" s="12"/>
      <c r="H346" s="12"/>
      <c r="I346" s="12"/>
      <c r="J346" s="12"/>
      <c r="K346" s="19"/>
      <c r="L346" s="12"/>
      <c r="M346" s="11" t="str">
        <f aca="false">IF(L346="","",IFERROR(INDEX(Prioridade_SLA!$B$2:$B$5,MATCH(L346,Prioridade_SLA!$A$2:$A$5,0)),""))</f>
        <v/>
      </c>
      <c r="N346" s="16" t="str">
        <f aca="false">IF(OR(B346="",M346=""),"",B346+M346/24)</f>
        <v/>
      </c>
      <c r="O346" s="12"/>
      <c r="P346" s="12"/>
      <c r="Q346" s="18"/>
      <c r="R346" s="17" t="str">
        <f aca="false">IF(OR(B346="",Q346=""),"",(Q346-B346)*24)</f>
        <v/>
      </c>
      <c r="S346" s="11" t="str">
        <f aca="false">IF(OR(N346="",Q346=""),"",IF(Q346&lt;=N346,"Sim","Não"))</f>
        <v/>
      </c>
      <c r="T346" s="19"/>
      <c r="U346" s="12"/>
      <c r="V346" s="12"/>
    </row>
    <row r="347" customFormat="false" ht="15" hidden="false" customHeight="false" outlineLevel="0" collapsed="false">
      <c r="A347" s="12"/>
      <c r="B347" s="18"/>
      <c r="C347" s="12"/>
      <c r="D347" s="11" t="str">
        <f aca="false">IF(C347="","",IFERROR(INDEX(Unidades!$B$2:$B$218,MATCH(C347,Unidades!$A$2:$A$218,0)),"Código não encontrado"))</f>
        <v/>
      </c>
      <c r="E347" s="11" t="str">
        <f aca="false">IF(C347="","",IFERROR(INDEX(Unidades!$C$2:$C$218,MATCH(C347,Unidades!$A$2:$A$218,0)),""))</f>
        <v/>
      </c>
      <c r="F347" s="12"/>
      <c r="G347" s="12"/>
      <c r="H347" s="12"/>
      <c r="I347" s="12"/>
      <c r="J347" s="12"/>
      <c r="K347" s="19"/>
      <c r="L347" s="12"/>
      <c r="M347" s="11" t="str">
        <f aca="false">IF(L347="","",IFERROR(INDEX(Prioridade_SLA!$B$2:$B$5,MATCH(L347,Prioridade_SLA!$A$2:$A$5,0)),""))</f>
        <v/>
      </c>
      <c r="N347" s="16" t="str">
        <f aca="false">IF(OR(B347="",M347=""),"",B347+M347/24)</f>
        <v/>
      </c>
      <c r="O347" s="12"/>
      <c r="P347" s="12"/>
      <c r="Q347" s="18"/>
      <c r="R347" s="17" t="str">
        <f aca="false">IF(OR(B347="",Q347=""),"",(Q347-B347)*24)</f>
        <v/>
      </c>
      <c r="S347" s="11" t="str">
        <f aca="false">IF(OR(N347="",Q347=""),"",IF(Q347&lt;=N347,"Sim","Não"))</f>
        <v/>
      </c>
      <c r="T347" s="19"/>
      <c r="U347" s="12"/>
      <c r="V347" s="12"/>
    </row>
    <row r="348" customFormat="false" ht="15" hidden="false" customHeight="false" outlineLevel="0" collapsed="false">
      <c r="A348" s="12"/>
      <c r="B348" s="18"/>
      <c r="C348" s="12"/>
      <c r="D348" s="11" t="str">
        <f aca="false">IF(C348="","",IFERROR(INDEX(Unidades!$B$2:$B$218,MATCH(C348,Unidades!$A$2:$A$218,0)),"Código não encontrado"))</f>
        <v/>
      </c>
      <c r="E348" s="11" t="str">
        <f aca="false">IF(C348="","",IFERROR(INDEX(Unidades!$C$2:$C$218,MATCH(C348,Unidades!$A$2:$A$218,0)),""))</f>
        <v/>
      </c>
      <c r="F348" s="12"/>
      <c r="G348" s="12"/>
      <c r="H348" s="12"/>
      <c r="I348" s="12"/>
      <c r="J348" s="12"/>
      <c r="K348" s="19"/>
      <c r="L348" s="12"/>
      <c r="M348" s="11" t="str">
        <f aca="false">IF(L348="","",IFERROR(INDEX(Prioridade_SLA!$B$2:$B$5,MATCH(L348,Prioridade_SLA!$A$2:$A$5,0)),""))</f>
        <v/>
      </c>
      <c r="N348" s="16" t="str">
        <f aca="false">IF(OR(B348="",M348=""),"",B348+M348/24)</f>
        <v/>
      </c>
      <c r="O348" s="12"/>
      <c r="P348" s="12"/>
      <c r="Q348" s="18"/>
      <c r="R348" s="17" t="str">
        <f aca="false">IF(OR(B348="",Q348=""),"",(Q348-B348)*24)</f>
        <v/>
      </c>
      <c r="S348" s="11" t="str">
        <f aca="false">IF(OR(N348="",Q348=""),"",IF(Q348&lt;=N348,"Sim","Não"))</f>
        <v/>
      </c>
      <c r="T348" s="19"/>
      <c r="U348" s="12"/>
      <c r="V348" s="12"/>
    </row>
    <row r="349" customFormat="false" ht="15" hidden="false" customHeight="false" outlineLevel="0" collapsed="false">
      <c r="A349" s="12"/>
      <c r="B349" s="18"/>
      <c r="C349" s="12"/>
      <c r="D349" s="11" t="str">
        <f aca="false">IF(C349="","",IFERROR(INDEX(Unidades!$B$2:$B$218,MATCH(C349,Unidades!$A$2:$A$218,0)),"Código não encontrado"))</f>
        <v/>
      </c>
      <c r="E349" s="11" t="str">
        <f aca="false">IF(C349="","",IFERROR(INDEX(Unidades!$C$2:$C$218,MATCH(C349,Unidades!$A$2:$A$218,0)),""))</f>
        <v/>
      </c>
      <c r="F349" s="12"/>
      <c r="G349" s="12"/>
      <c r="H349" s="12"/>
      <c r="I349" s="12"/>
      <c r="J349" s="12"/>
      <c r="K349" s="19"/>
      <c r="L349" s="12"/>
      <c r="M349" s="11" t="str">
        <f aca="false">IF(L349="","",IFERROR(INDEX(Prioridade_SLA!$B$2:$B$5,MATCH(L349,Prioridade_SLA!$A$2:$A$5,0)),""))</f>
        <v/>
      </c>
      <c r="N349" s="16" t="str">
        <f aca="false">IF(OR(B349="",M349=""),"",B349+M349/24)</f>
        <v/>
      </c>
      <c r="O349" s="12"/>
      <c r="P349" s="12"/>
      <c r="Q349" s="18"/>
      <c r="R349" s="17" t="str">
        <f aca="false">IF(OR(B349="",Q349=""),"",(Q349-B349)*24)</f>
        <v/>
      </c>
      <c r="S349" s="11" t="str">
        <f aca="false">IF(OR(N349="",Q349=""),"",IF(Q349&lt;=N349,"Sim","Não"))</f>
        <v/>
      </c>
      <c r="T349" s="19"/>
      <c r="U349" s="12"/>
      <c r="V349" s="12"/>
    </row>
    <row r="350" customFormat="false" ht="15" hidden="false" customHeight="false" outlineLevel="0" collapsed="false">
      <c r="A350" s="12"/>
      <c r="B350" s="18"/>
      <c r="C350" s="12"/>
      <c r="D350" s="11" t="str">
        <f aca="false">IF(C350="","",IFERROR(INDEX(Unidades!$B$2:$B$218,MATCH(C350,Unidades!$A$2:$A$218,0)),"Código não encontrado"))</f>
        <v/>
      </c>
      <c r="E350" s="11" t="str">
        <f aca="false">IF(C350="","",IFERROR(INDEX(Unidades!$C$2:$C$218,MATCH(C350,Unidades!$A$2:$A$218,0)),""))</f>
        <v/>
      </c>
      <c r="F350" s="12"/>
      <c r="G350" s="12"/>
      <c r="H350" s="12"/>
      <c r="I350" s="12"/>
      <c r="J350" s="12"/>
      <c r="K350" s="19"/>
      <c r="L350" s="12"/>
      <c r="M350" s="11" t="str">
        <f aca="false">IF(L350="","",IFERROR(INDEX(Prioridade_SLA!$B$2:$B$5,MATCH(L350,Prioridade_SLA!$A$2:$A$5,0)),""))</f>
        <v/>
      </c>
      <c r="N350" s="16" t="str">
        <f aca="false">IF(OR(B350="",M350=""),"",B350+M350/24)</f>
        <v/>
      </c>
      <c r="O350" s="12"/>
      <c r="P350" s="12"/>
      <c r="Q350" s="18"/>
      <c r="R350" s="17" t="str">
        <f aca="false">IF(OR(B350="",Q350=""),"",(Q350-B350)*24)</f>
        <v/>
      </c>
      <c r="S350" s="11" t="str">
        <f aca="false">IF(OR(N350="",Q350=""),"",IF(Q350&lt;=N350,"Sim","Não"))</f>
        <v/>
      </c>
      <c r="T350" s="19"/>
      <c r="U350" s="12"/>
      <c r="V350" s="12"/>
    </row>
    <row r="351" customFormat="false" ht="15" hidden="false" customHeight="false" outlineLevel="0" collapsed="false">
      <c r="A351" s="12"/>
      <c r="B351" s="18"/>
      <c r="C351" s="12"/>
      <c r="D351" s="11" t="str">
        <f aca="false">IF(C351="","",IFERROR(INDEX(Unidades!$B$2:$B$218,MATCH(C351,Unidades!$A$2:$A$218,0)),"Código não encontrado"))</f>
        <v/>
      </c>
      <c r="E351" s="11" t="str">
        <f aca="false">IF(C351="","",IFERROR(INDEX(Unidades!$C$2:$C$218,MATCH(C351,Unidades!$A$2:$A$218,0)),""))</f>
        <v/>
      </c>
      <c r="F351" s="12"/>
      <c r="G351" s="12"/>
      <c r="H351" s="12"/>
      <c r="I351" s="12"/>
      <c r="J351" s="12"/>
      <c r="K351" s="19"/>
      <c r="L351" s="12"/>
      <c r="M351" s="11" t="str">
        <f aca="false">IF(L351="","",IFERROR(INDEX(Prioridade_SLA!$B$2:$B$5,MATCH(L351,Prioridade_SLA!$A$2:$A$5,0)),""))</f>
        <v/>
      </c>
      <c r="N351" s="16" t="str">
        <f aca="false">IF(OR(B351="",M351=""),"",B351+M351/24)</f>
        <v/>
      </c>
      <c r="O351" s="12"/>
      <c r="P351" s="12"/>
      <c r="Q351" s="18"/>
      <c r="R351" s="17" t="str">
        <f aca="false">IF(OR(B351="",Q351=""),"",(Q351-B351)*24)</f>
        <v/>
      </c>
      <c r="S351" s="11" t="str">
        <f aca="false">IF(OR(N351="",Q351=""),"",IF(Q351&lt;=N351,"Sim","Não"))</f>
        <v/>
      </c>
      <c r="T351" s="19"/>
      <c r="U351" s="12"/>
      <c r="V351" s="12"/>
    </row>
    <row r="352" customFormat="false" ht="15" hidden="false" customHeight="false" outlineLevel="0" collapsed="false">
      <c r="A352" s="12"/>
      <c r="B352" s="18"/>
      <c r="C352" s="12"/>
      <c r="D352" s="11" t="str">
        <f aca="false">IF(C352="","",IFERROR(INDEX(Unidades!$B$2:$B$218,MATCH(C352,Unidades!$A$2:$A$218,0)),"Código não encontrado"))</f>
        <v/>
      </c>
      <c r="E352" s="11" t="str">
        <f aca="false">IF(C352="","",IFERROR(INDEX(Unidades!$C$2:$C$218,MATCH(C352,Unidades!$A$2:$A$218,0)),""))</f>
        <v/>
      </c>
      <c r="F352" s="12"/>
      <c r="G352" s="12"/>
      <c r="H352" s="12"/>
      <c r="I352" s="12"/>
      <c r="J352" s="12"/>
      <c r="K352" s="19"/>
      <c r="L352" s="12"/>
      <c r="M352" s="11" t="str">
        <f aca="false">IF(L352="","",IFERROR(INDEX(Prioridade_SLA!$B$2:$B$5,MATCH(L352,Prioridade_SLA!$A$2:$A$5,0)),""))</f>
        <v/>
      </c>
      <c r="N352" s="16" t="str">
        <f aca="false">IF(OR(B352="",M352=""),"",B352+M352/24)</f>
        <v/>
      </c>
      <c r="O352" s="12"/>
      <c r="P352" s="12"/>
      <c r="Q352" s="18"/>
      <c r="R352" s="17" t="str">
        <f aca="false">IF(OR(B352="",Q352=""),"",(Q352-B352)*24)</f>
        <v/>
      </c>
      <c r="S352" s="11" t="str">
        <f aca="false">IF(OR(N352="",Q352=""),"",IF(Q352&lt;=N352,"Sim","Não"))</f>
        <v/>
      </c>
      <c r="T352" s="19"/>
      <c r="U352" s="12"/>
      <c r="V352" s="12"/>
    </row>
    <row r="353" customFormat="false" ht="15" hidden="false" customHeight="false" outlineLevel="0" collapsed="false">
      <c r="A353" s="12"/>
      <c r="B353" s="18"/>
      <c r="C353" s="12"/>
      <c r="D353" s="11" t="str">
        <f aca="false">IF(C353="","",IFERROR(INDEX(Unidades!$B$2:$B$218,MATCH(C353,Unidades!$A$2:$A$218,0)),"Código não encontrado"))</f>
        <v/>
      </c>
      <c r="E353" s="11" t="str">
        <f aca="false">IF(C353="","",IFERROR(INDEX(Unidades!$C$2:$C$218,MATCH(C353,Unidades!$A$2:$A$218,0)),""))</f>
        <v/>
      </c>
      <c r="F353" s="12"/>
      <c r="G353" s="12"/>
      <c r="H353" s="12"/>
      <c r="I353" s="12"/>
      <c r="J353" s="12"/>
      <c r="K353" s="19"/>
      <c r="L353" s="12"/>
      <c r="M353" s="11" t="str">
        <f aca="false">IF(L353="","",IFERROR(INDEX(Prioridade_SLA!$B$2:$B$5,MATCH(L353,Prioridade_SLA!$A$2:$A$5,0)),""))</f>
        <v/>
      </c>
      <c r="N353" s="16" t="str">
        <f aca="false">IF(OR(B353="",M353=""),"",B353+M353/24)</f>
        <v/>
      </c>
      <c r="O353" s="12"/>
      <c r="P353" s="12"/>
      <c r="Q353" s="18"/>
      <c r="R353" s="17" t="str">
        <f aca="false">IF(OR(B353="",Q353=""),"",(Q353-B353)*24)</f>
        <v/>
      </c>
      <c r="S353" s="11" t="str">
        <f aca="false">IF(OR(N353="",Q353=""),"",IF(Q353&lt;=N353,"Sim","Não"))</f>
        <v/>
      </c>
      <c r="T353" s="19"/>
      <c r="U353" s="12"/>
      <c r="V353" s="12"/>
    </row>
    <row r="354" customFormat="false" ht="15" hidden="false" customHeight="false" outlineLevel="0" collapsed="false">
      <c r="A354" s="12"/>
      <c r="B354" s="18"/>
      <c r="C354" s="12"/>
      <c r="D354" s="11" t="str">
        <f aca="false">IF(C354="","",IFERROR(INDEX(Unidades!$B$2:$B$218,MATCH(C354,Unidades!$A$2:$A$218,0)),"Código não encontrado"))</f>
        <v/>
      </c>
      <c r="E354" s="11" t="str">
        <f aca="false">IF(C354="","",IFERROR(INDEX(Unidades!$C$2:$C$218,MATCH(C354,Unidades!$A$2:$A$218,0)),""))</f>
        <v/>
      </c>
      <c r="F354" s="12"/>
      <c r="G354" s="12"/>
      <c r="H354" s="12"/>
      <c r="I354" s="12"/>
      <c r="J354" s="12"/>
      <c r="K354" s="19"/>
      <c r="L354" s="12"/>
      <c r="M354" s="11" t="str">
        <f aca="false">IF(L354="","",IFERROR(INDEX(Prioridade_SLA!$B$2:$B$5,MATCH(L354,Prioridade_SLA!$A$2:$A$5,0)),""))</f>
        <v/>
      </c>
      <c r="N354" s="16" t="str">
        <f aca="false">IF(OR(B354="",M354=""),"",B354+M354/24)</f>
        <v/>
      </c>
      <c r="O354" s="12"/>
      <c r="P354" s="12"/>
      <c r="Q354" s="18"/>
      <c r="R354" s="17" t="str">
        <f aca="false">IF(OR(B354="",Q354=""),"",(Q354-B354)*24)</f>
        <v/>
      </c>
      <c r="S354" s="11" t="str">
        <f aca="false">IF(OR(N354="",Q354=""),"",IF(Q354&lt;=N354,"Sim","Não"))</f>
        <v/>
      </c>
      <c r="T354" s="19"/>
      <c r="U354" s="12"/>
      <c r="V354" s="12"/>
    </row>
    <row r="355" customFormat="false" ht="15" hidden="false" customHeight="false" outlineLevel="0" collapsed="false">
      <c r="A355" s="12"/>
      <c r="B355" s="18"/>
      <c r="C355" s="12"/>
      <c r="D355" s="11" t="str">
        <f aca="false">IF(C355="","",IFERROR(INDEX(Unidades!$B$2:$B$218,MATCH(C355,Unidades!$A$2:$A$218,0)),"Código não encontrado"))</f>
        <v/>
      </c>
      <c r="E355" s="11" t="str">
        <f aca="false">IF(C355="","",IFERROR(INDEX(Unidades!$C$2:$C$218,MATCH(C355,Unidades!$A$2:$A$218,0)),""))</f>
        <v/>
      </c>
      <c r="F355" s="12"/>
      <c r="G355" s="12"/>
      <c r="H355" s="12"/>
      <c r="I355" s="12"/>
      <c r="J355" s="12"/>
      <c r="K355" s="19"/>
      <c r="L355" s="12"/>
      <c r="M355" s="11" t="str">
        <f aca="false">IF(L355="","",IFERROR(INDEX(Prioridade_SLA!$B$2:$B$5,MATCH(L355,Prioridade_SLA!$A$2:$A$5,0)),""))</f>
        <v/>
      </c>
      <c r="N355" s="16" t="str">
        <f aca="false">IF(OR(B355="",M355=""),"",B355+M355/24)</f>
        <v/>
      </c>
      <c r="O355" s="12"/>
      <c r="P355" s="12"/>
      <c r="Q355" s="18"/>
      <c r="R355" s="17" t="str">
        <f aca="false">IF(OR(B355="",Q355=""),"",(Q355-B355)*24)</f>
        <v/>
      </c>
      <c r="S355" s="11" t="str">
        <f aca="false">IF(OR(N355="",Q355=""),"",IF(Q355&lt;=N355,"Sim","Não"))</f>
        <v/>
      </c>
      <c r="T355" s="19"/>
      <c r="U355" s="12"/>
      <c r="V355" s="12"/>
    </row>
    <row r="356" customFormat="false" ht="15" hidden="false" customHeight="false" outlineLevel="0" collapsed="false">
      <c r="A356" s="12"/>
      <c r="B356" s="18"/>
      <c r="C356" s="12"/>
      <c r="D356" s="11" t="str">
        <f aca="false">IF(C356="","",IFERROR(INDEX(Unidades!$B$2:$B$218,MATCH(C356,Unidades!$A$2:$A$218,0)),"Código não encontrado"))</f>
        <v/>
      </c>
      <c r="E356" s="11" t="str">
        <f aca="false">IF(C356="","",IFERROR(INDEX(Unidades!$C$2:$C$218,MATCH(C356,Unidades!$A$2:$A$218,0)),""))</f>
        <v/>
      </c>
      <c r="F356" s="12"/>
      <c r="G356" s="12"/>
      <c r="H356" s="12"/>
      <c r="I356" s="12"/>
      <c r="J356" s="12"/>
      <c r="K356" s="19"/>
      <c r="L356" s="12"/>
      <c r="M356" s="11" t="str">
        <f aca="false">IF(L356="","",IFERROR(INDEX(Prioridade_SLA!$B$2:$B$5,MATCH(L356,Prioridade_SLA!$A$2:$A$5,0)),""))</f>
        <v/>
      </c>
      <c r="N356" s="16" t="str">
        <f aca="false">IF(OR(B356="",M356=""),"",B356+M356/24)</f>
        <v/>
      </c>
      <c r="O356" s="12"/>
      <c r="P356" s="12"/>
      <c r="Q356" s="18"/>
      <c r="R356" s="17" t="str">
        <f aca="false">IF(OR(B356="",Q356=""),"",(Q356-B356)*24)</f>
        <v/>
      </c>
      <c r="S356" s="11" t="str">
        <f aca="false">IF(OR(N356="",Q356=""),"",IF(Q356&lt;=N356,"Sim","Não"))</f>
        <v/>
      </c>
      <c r="T356" s="19"/>
      <c r="U356" s="12"/>
      <c r="V356" s="12"/>
    </row>
    <row r="357" customFormat="false" ht="15" hidden="false" customHeight="false" outlineLevel="0" collapsed="false">
      <c r="A357" s="12"/>
      <c r="B357" s="18"/>
      <c r="C357" s="12"/>
      <c r="D357" s="11" t="str">
        <f aca="false">IF(C357="","",IFERROR(INDEX(Unidades!$B$2:$B$218,MATCH(C357,Unidades!$A$2:$A$218,0)),"Código não encontrado"))</f>
        <v/>
      </c>
      <c r="E357" s="11" t="str">
        <f aca="false">IF(C357="","",IFERROR(INDEX(Unidades!$C$2:$C$218,MATCH(C357,Unidades!$A$2:$A$218,0)),""))</f>
        <v/>
      </c>
      <c r="F357" s="12"/>
      <c r="G357" s="12"/>
      <c r="H357" s="12"/>
      <c r="I357" s="12"/>
      <c r="J357" s="12"/>
      <c r="K357" s="19"/>
      <c r="L357" s="12"/>
      <c r="M357" s="11" t="str">
        <f aca="false">IF(L357="","",IFERROR(INDEX(Prioridade_SLA!$B$2:$B$5,MATCH(L357,Prioridade_SLA!$A$2:$A$5,0)),""))</f>
        <v/>
      </c>
      <c r="N357" s="16" t="str">
        <f aca="false">IF(OR(B357="",M357=""),"",B357+M357/24)</f>
        <v/>
      </c>
      <c r="O357" s="12"/>
      <c r="P357" s="12"/>
      <c r="Q357" s="18"/>
      <c r="R357" s="17" t="str">
        <f aca="false">IF(OR(B357="",Q357=""),"",(Q357-B357)*24)</f>
        <v/>
      </c>
      <c r="S357" s="11" t="str">
        <f aca="false">IF(OR(N357="",Q357=""),"",IF(Q357&lt;=N357,"Sim","Não"))</f>
        <v/>
      </c>
      <c r="T357" s="19"/>
      <c r="U357" s="12"/>
      <c r="V357" s="12"/>
    </row>
    <row r="358" customFormat="false" ht="15" hidden="false" customHeight="false" outlineLevel="0" collapsed="false">
      <c r="A358" s="12"/>
      <c r="B358" s="18"/>
      <c r="C358" s="12"/>
      <c r="D358" s="11" t="str">
        <f aca="false">IF(C358="","",IFERROR(INDEX(Unidades!$B$2:$B$218,MATCH(C358,Unidades!$A$2:$A$218,0)),"Código não encontrado"))</f>
        <v/>
      </c>
      <c r="E358" s="11" t="str">
        <f aca="false">IF(C358="","",IFERROR(INDEX(Unidades!$C$2:$C$218,MATCH(C358,Unidades!$A$2:$A$218,0)),""))</f>
        <v/>
      </c>
      <c r="F358" s="12"/>
      <c r="G358" s="12"/>
      <c r="H358" s="12"/>
      <c r="I358" s="12"/>
      <c r="J358" s="12"/>
      <c r="K358" s="19"/>
      <c r="L358" s="12"/>
      <c r="M358" s="11" t="str">
        <f aca="false">IF(L358="","",IFERROR(INDEX(Prioridade_SLA!$B$2:$B$5,MATCH(L358,Prioridade_SLA!$A$2:$A$5,0)),""))</f>
        <v/>
      </c>
      <c r="N358" s="16" t="str">
        <f aca="false">IF(OR(B358="",M358=""),"",B358+M358/24)</f>
        <v/>
      </c>
      <c r="O358" s="12"/>
      <c r="P358" s="12"/>
      <c r="Q358" s="18"/>
      <c r="R358" s="17" t="str">
        <f aca="false">IF(OR(B358="",Q358=""),"",(Q358-B358)*24)</f>
        <v/>
      </c>
      <c r="S358" s="11" t="str">
        <f aca="false">IF(OR(N358="",Q358=""),"",IF(Q358&lt;=N358,"Sim","Não"))</f>
        <v/>
      </c>
      <c r="T358" s="19"/>
      <c r="U358" s="12"/>
      <c r="V358" s="12"/>
    </row>
    <row r="359" customFormat="false" ht="15" hidden="false" customHeight="false" outlineLevel="0" collapsed="false">
      <c r="A359" s="12"/>
      <c r="B359" s="18"/>
      <c r="C359" s="12"/>
      <c r="D359" s="11" t="str">
        <f aca="false">IF(C359="","",IFERROR(INDEX(Unidades!$B$2:$B$218,MATCH(C359,Unidades!$A$2:$A$218,0)),"Código não encontrado"))</f>
        <v/>
      </c>
      <c r="E359" s="11" t="str">
        <f aca="false">IF(C359="","",IFERROR(INDEX(Unidades!$C$2:$C$218,MATCH(C359,Unidades!$A$2:$A$218,0)),""))</f>
        <v/>
      </c>
      <c r="F359" s="12"/>
      <c r="G359" s="12"/>
      <c r="H359" s="12"/>
      <c r="I359" s="12"/>
      <c r="J359" s="12"/>
      <c r="K359" s="19"/>
      <c r="L359" s="12"/>
      <c r="M359" s="11" t="str">
        <f aca="false">IF(L359="","",IFERROR(INDEX(Prioridade_SLA!$B$2:$B$5,MATCH(L359,Prioridade_SLA!$A$2:$A$5,0)),""))</f>
        <v/>
      </c>
      <c r="N359" s="16" t="str">
        <f aca="false">IF(OR(B359="",M359=""),"",B359+M359/24)</f>
        <v/>
      </c>
      <c r="O359" s="12"/>
      <c r="P359" s="12"/>
      <c r="Q359" s="18"/>
      <c r="R359" s="17" t="str">
        <f aca="false">IF(OR(B359="",Q359=""),"",(Q359-B359)*24)</f>
        <v/>
      </c>
      <c r="S359" s="11" t="str">
        <f aca="false">IF(OR(N359="",Q359=""),"",IF(Q359&lt;=N359,"Sim","Não"))</f>
        <v/>
      </c>
      <c r="T359" s="19"/>
      <c r="U359" s="12"/>
      <c r="V359" s="12"/>
    </row>
    <row r="360" customFormat="false" ht="15" hidden="false" customHeight="false" outlineLevel="0" collapsed="false">
      <c r="A360" s="12"/>
      <c r="B360" s="18"/>
      <c r="C360" s="12"/>
      <c r="D360" s="11" t="str">
        <f aca="false">IF(C360="","",IFERROR(INDEX(Unidades!$B$2:$B$218,MATCH(C360,Unidades!$A$2:$A$218,0)),"Código não encontrado"))</f>
        <v/>
      </c>
      <c r="E360" s="11" t="str">
        <f aca="false">IF(C360="","",IFERROR(INDEX(Unidades!$C$2:$C$218,MATCH(C360,Unidades!$A$2:$A$218,0)),""))</f>
        <v/>
      </c>
      <c r="F360" s="12"/>
      <c r="G360" s="12"/>
      <c r="H360" s="12"/>
      <c r="I360" s="12"/>
      <c r="J360" s="12"/>
      <c r="K360" s="19"/>
      <c r="L360" s="12"/>
      <c r="M360" s="11" t="str">
        <f aca="false">IF(L360="","",IFERROR(INDEX(Prioridade_SLA!$B$2:$B$5,MATCH(L360,Prioridade_SLA!$A$2:$A$5,0)),""))</f>
        <v/>
      </c>
      <c r="N360" s="16" t="str">
        <f aca="false">IF(OR(B360="",M360=""),"",B360+M360/24)</f>
        <v/>
      </c>
      <c r="O360" s="12"/>
      <c r="P360" s="12"/>
      <c r="Q360" s="18"/>
      <c r="R360" s="17" t="str">
        <f aca="false">IF(OR(B360="",Q360=""),"",(Q360-B360)*24)</f>
        <v/>
      </c>
      <c r="S360" s="11" t="str">
        <f aca="false">IF(OR(N360="",Q360=""),"",IF(Q360&lt;=N360,"Sim","Não"))</f>
        <v/>
      </c>
      <c r="T360" s="19"/>
      <c r="U360" s="12"/>
      <c r="V360" s="12"/>
    </row>
    <row r="361" customFormat="false" ht="15" hidden="false" customHeight="false" outlineLevel="0" collapsed="false">
      <c r="A361" s="12"/>
      <c r="B361" s="18"/>
      <c r="C361" s="12"/>
      <c r="D361" s="11" t="str">
        <f aca="false">IF(C361="","",IFERROR(INDEX(Unidades!$B$2:$B$218,MATCH(C361,Unidades!$A$2:$A$218,0)),"Código não encontrado"))</f>
        <v/>
      </c>
      <c r="E361" s="11" t="str">
        <f aca="false">IF(C361="","",IFERROR(INDEX(Unidades!$C$2:$C$218,MATCH(C361,Unidades!$A$2:$A$218,0)),""))</f>
        <v/>
      </c>
      <c r="F361" s="12"/>
      <c r="G361" s="12"/>
      <c r="H361" s="12"/>
      <c r="I361" s="12"/>
      <c r="J361" s="12"/>
      <c r="K361" s="19"/>
      <c r="L361" s="12"/>
      <c r="M361" s="11" t="str">
        <f aca="false">IF(L361="","",IFERROR(INDEX(Prioridade_SLA!$B$2:$B$5,MATCH(L361,Prioridade_SLA!$A$2:$A$5,0)),""))</f>
        <v/>
      </c>
      <c r="N361" s="16" t="str">
        <f aca="false">IF(OR(B361="",M361=""),"",B361+M361/24)</f>
        <v/>
      </c>
      <c r="O361" s="12"/>
      <c r="P361" s="12"/>
      <c r="Q361" s="18"/>
      <c r="R361" s="17" t="str">
        <f aca="false">IF(OR(B361="",Q361=""),"",(Q361-B361)*24)</f>
        <v/>
      </c>
      <c r="S361" s="11" t="str">
        <f aca="false">IF(OR(N361="",Q361=""),"",IF(Q361&lt;=N361,"Sim","Não"))</f>
        <v/>
      </c>
      <c r="T361" s="19"/>
      <c r="U361" s="12"/>
      <c r="V361" s="12"/>
    </row>
    <row r="362" customFormat="false" ht="15" hidden="false" customHeight="false" outlineLevel="0" collapsed="false">
      <c r="A362" s="12"/>
      <c r="B362" s="18"/>
      <c r="C362" s="12"/>
      <c r="D362" s="11" t="str">
        <f aca="false">IF(C362="","",IFERROR(INDEX(Unidades!$B$2:$B$218,MATCH(C362,Unidades!$A$2:$A$218,0)),"Código não encontrado"))</f>
        <v/>
      </c>
      <c r="E362" s="11" t="str">
        <f aca="false">IF(C362="","",IFERROR(INDEX(Unidades!$C$2:$C$218,MATCH(C362,Unidades!$A$2:$A$218,0)),""))</f>
        <v/>
      </c>
      <c r="F362" s="12"/>
      <c r="G362" s="12"/>
      <c r="H362" s="12"/>
      <c r="I362" s="12"/>
      <c r="J362" s="12"/>
      <c r="K362" s="19"/>
      <c r="L362" s="12"/>
      <c r="M362" s="11" t="str">
        <f aca="false">IF(L362="","",IFERROR(INDEX(Prioridade_SLA!$B$2:$B$5,MATCH(L362,Prioridade_SLA!$A$2:$A$5,0)),""))</f>
        <v/>
      </c>
      <c r="N362" s="16" t="str">
        <f aca="false">IF(OR(B362="",M362=""),"",B362+M362/24)</f>
        <v/>
      </c>
      <c r="O362" s="12"/>
      <c r="P362" s="12"/>
      <c r="Q362" s="18"/>
      <c r="R362" s="17" t="str">
        <f aca="false">IF(OR(B362="",Q362=""),"",(Q362-B362)*24)</f>
        <v/>
      </c>
      <c r="S362" s="11" t="str">
        <f aca="false">IF(OR(N362="",Q362=""),"",IF(Q362&lt;=N362,"Sim","Não"))</f>
        <v/>
      </c>
      <c r="T362" s="19"/>
      <c r="U362" s="12"/>
      <c r="V362" s="12"/>
    </row>
    <row r="363" customFormat="false" ht="15" hidden="false" customHeight="false" outlineLevel="0" collapsed="false">
      <c r="A363" s="12"/>
      <c r="B363" s="18"/>
      <c r="C363" s="12"/>
      <c r="D363" s="11" t="str">
        <f aca="false">IF(C363="","",IFERROR(INDEX(Unidades!$B$2:$B$218,MATCH(C363,Unidades!$A$2:$A$218,0)),"Código não encontrado"))</f>
        <v/>
      </c>
      <c r="E363" s="11" t="str">
        <f aca="false">IF(C363="","",IFERROR(INDEX(Unidades!$C$2:$C$218,MATCH(C363,Unidades!$A$2:$A$218,0)),""))</f>
        <v/>
      </c>
      <c r="F363" s="12"/>
      <c r="G363" s="12"/>
      <c r="H363" s="12"/>
      <c r="I363" s="12"/>
      <c r="J363" s="12"/>
      <c r="K363" s="19"/>
      <c r="L363" s="12"/>
      <c r="M363" s="11" t="str">
        <f aca="false">IF(L363="","",IFERROR(INDEX(Prioridade_SLA!$B$2:$B$5,MATCH(L363,Prioridade_SLA!$A$2:$A$5,0)),""))</f>
        <v/>
      </c>
      <c r="N363" s="16" t="str">
        <f aca="false">IF(OR(B363="",M363=""),"",B363+M363/24)</f>
        <v/>
      </c>
      <c r="O363" s="12"/>
      <c r="P363" s="12"/>
      <c r="Q363" s="18"/>
      <c r="R363" s="17" t="str">
        <f aca="false">IF(OR(B363="",Q363=""),"",(Q363-B363)*24)</f>
        <v/>
      </c>
      <c r="S363" s="11" t="str">
        <f aca="false">IF(OR(N363="",Q363=""),"",IF(Q363&lt;=N363,"Sim","Não"))</f>
        <v/>
      </c>
      <c r="T363" s="19"/>
      <c r="U363" s="12"/>
      <c r="V363" s="12"/>
    </row>
    <row r="364" customFormat="false" ht="15" hidden="false" customHeight="false" outlineLevel="0" collapsed="false">
      <c r="A364" s="12"/>
      <c r="B364" s="18"/>
      <c r="C364" s="12"/>
      <c r="D364" s="11" t="str">
        <f aca="false">IF(C364="","",IFERROR(INDEX(Unidades!$B$2:$B$218,MATCH(C364,Unidades!$A$2:$A$218,0)),"Código não encontrado"))</f>
        <v/>
      </c>
      <c r="E364" s="11" t="str">
        <f aca="false">IF(C364="","",IFERROR(INDEX(Unidades!$C$2:$C$218,MATCH(C364,Unidades!$A$2:$A$218,0)),""))</f>
        <v/>
      </c>
      <c r="F364" s="12"/>
      <c r="G364" s="12"/>
      <c r="H364" s="12"/>
      <c r="I364" s="12"/>
      <c r="J364" s="12"/>
      <c r="K364" s="19"/>
      <c r="L364" s="12"/>
      <c r="M364" s="11" t="str">
        <f aca="false">IF(L364="","",IFERROR(INDEX(Prioridade_SLA!$B$2:$B$5,MATCH(L364,Prioridade_SLA!$A$2:$A$5,0)),""))</f>
        <v/>
      </c>
      <c r="N364" s="16" t="str">
        <f aca="false">IF(OR(B364="",M364=""),"",B364+M364/24)</f>
        <v/>
      </c>
      <c r="O364" s="12"/>
      <c r="P364" s="12"/>
      <c r="Q364" s="18"/>
      <c r="R364" s="17" t="str">
        <f aca="false">IF(OR(B364="",Q364=""),"",(Q364-B364)*24)</f>
        <v/>
      </c>
      <c r="S364" s="11" t="str">
        <f aca="false">IF(OR(N364="",Q364=""),"",IF(Q364&lt;=N364,"Sim","Não"))</f>
        <v/>
      </c>
      <c r="T364" s="19"/>
      <c r="U364" s="12"/>
      <c r="V364" s="12"/>
    </row>
    <row r="365" customFormat="false" ht="15" hidden="false" customHeight="false" outlineLevel="0" collapsed="false">
      <c r="A365" s="12"/>
      <c r="B365" s="18"/>
      <c r="C365" s="12"/>
      <c r="D365" s="11" t="str">
        <f aca="false">IF(C365="","",IFERROR(INDEX(Unidades!$B$2:$B$218,MATCH(C365,Unidades!$A$2:$A$218,0)),"Código não encontrado"))</f>
        <v/>
      </c>
      <c r="E365" s="11" t="str">
        <f aca="false">IF(C365="","",IFERROR(INDEX(Unidades!$C$2:$C$218,MATCH(C365,Unidades!$A$2:$A$218,0)),""))</f>
        <v/>
      </c>
      <c r="F365" s="12"/>
      <c r="G365" s="12"/>
      <c r="H365" s="12"/>
      <c r="I365" s="12"/>
      <c r="J365" s="12"/>
      <c r="K365" s="19"/>
      <c r="L365" s="12"/>
      <c r="M365" s="11" t="str">
        <f aca="false">IF(L365="","",IFERROR(INDEX(Prioridade_SLA!$B$2:$B$5,MATCH(L365,Prioridade_SLA!$A$2:$A$5,0)),""))</f>
        <v/>
      </c>
      <c r="N365" s="16" t="str">
        <f aca="false">IF(OR(B365="",M365=""),"",B365+M365/24)</f>
        <v/>
      </c>
      <c r="O365" s="12"/>
      <c r="P365" s="12"/>
      <c r="Q365" s="18"/>
      <c r="R365" s="17" t="str">
        <f aca="false">IF(OR(B365="",Q365=""),"",(Q365-B365)*24)</f>
        <v/>
      </c>
      <c r="S365" s="11" t="str">
        <f aca="false">IF(OR(N365="",Q365=""),"",IF(Q365&lt;=N365,"Sim","Não"))</f>
        <v/>
      </c>
      <c r="T365" s="19"/>
      <c r="U365" s="12"/>
      <c r="V365" s="12"/>
    </row>
    <row r="366" customFormat="false" ht="15" hidden="false" customHeight="false" outlineLevel="0" collapsed="false">
      <c r="A366" s="12"/>
      <c r="B366" s="18"/>
      <c r="C366" s="12"/>
      <c r="D366" s="11" t="str">
        <f aca="false">IF(C366="","",IFERROR(INDEX(Unidades!$B$2:$B$218,MATCH(C366,Unidades!$A$2:$A$218,0)),"Código não encontrado"))</f>
        <v/>
      </c>
      <c r="E366" s="11" t="str">
        <f aca="false">IF(C366="","",IFERROR(INDEX(Unidades!$C$2:$C$218,MATCH(C366,Unidades!$A$2:$A$218,0)),""))</f>
        <v/>
      </c>
      <c r="F366" s="12"/>
      <c r="G366" s="12"/>
      <c r="H366" s="12"/>
      <c r="I366" s="12"/>
      <c r="J366" s="12"/>
      <c r="K366" s="19"/>
      <c r="L366" s="12"/>
      <c r="M366" s="11" t="str">
        <f aca="false">IF(L366="","",IFERROR(INDEX(Prioridade_SLA!$B$2:$B$5,MATCH(L366,Prioridade_SLA!$A$2:$A$5,0)),""))</f>
        <v/>
      </c>
      <c r="N366" s="16" t="str">
        <f aca="false">IF(OR(B366="",M366=""),"",B366+M366/24)</f>
        <v/>
      </c>
      <c r="O366" s="12"/>
      <c r="P366" s="12"/>
      <c r="Q366" s="18"/>
      <c r="R366" s="17" t="str">
        <f aca="false">IF(OR(B366="",Q366=""),"",(Q366-B366)*24)</f>
        <v/>
      </c>
      <c r="S366" s="11" t="str">
        <f aca="false">IF(OR(N366="",Q366=""),"",IF(Q366&lt;=N366,"Sim","Não"))</f>
        <v/>
      </c>
      <c r="T366" s="19"/>
      <c r="U366" s="12"/>
      <c r="V366" s="12"/>
    </row>
    <row r="367" customFormat="false" ht="15" hidden="false" customHeight="false" outlineLevel="0" collapsed="false">
      <c r="A367" s="12"/>
      <c r="B367" s="18"/>
      <c r="C367" s="12"/>
      <c r="D367" s="11" t="str">
        <f aca="false">IF(C367="","",IFERROR(INDEX(Unidades!$B$2:$B$218,MATCH(C367,Unidades!$A$2:$A$218,0)),"Código não encontrado"))</f>
        <v/>
      </c>
      <c r="E367" s="11" t="str">
        <f aca="false">IF(C367="","",IFERROR(INDEX(Unidades!$C$2:$C$218,MATCH(C367,Unidades!$A$2:$A$218,0)),""))</f>
        <v/>
      </c>
      <c r="F367" s="12"/>
      <c r="G367" s="12"/>
      <c r="H367" s="12"/>
      <c r="I367" s="12"/>
      <c r="J367" s="12"/>
      <c r="K367" s="19"/>
      <c r="L367" s="12"/>
      <c r="M367" s="11" t="str">
        <f aca="false">IF(L367="","",IFERROR(INDEX(Prioridade_SLA!$B$2:$B$5,MATCH(L367,Prioridade_SLA!$A$2:$A$5,0)),""))</f>
        <v/>
      </c>
      <c r="N367" s="16" t="str">
        <f aca="false">IF(OR(B367="",M367=""),"",B367+M367/24)</f>
        <v/>
      </c>
      <c r="O367" s="12"/>
      <c r="P367" s="12"/>
      <c r="Q367" s="18"/>
      <c r="R367" s="17" t="str">
        <f aca="false">IF(OR(B367="",Q367=""),"",(Q367-B367)*24)</f>
        <v/>
      </c>
      <c r="S367" s="11" t="str">
        <f aca="false">IF(OR(N367="",Q367=""),"",IF(Q367&lt;=N367,"Sim","Não"))</f>
        <v/>
      </c>
      <c r="T367" s="19"/>
      <c r="U367" s="12"/>
      <c r="V367" s="12"/>
    </row>
    <row r="368" customFormat="false" ht="15" hidden="false" customHeight="false" outlineLevel="0" collapsed="false">
      <c r="A368" s="12"/>
      <c r="B368" s="18"/>
      <c r="C368" s="12"/>
      <c r="D368" s="11" t="str">
        <f aca="false">IF(C368="","",IFERROR(INDEX(Unidades!$B$2:$B$218,MATCH(C368,Unidades!$A$2:$A$218,0)),"Código não encontrado"))</f>
        <v/>
      </c>
      <c r="E368" s="11" t="str">
        <f aca="false">IF(C368="","",IFERROR(INDEX(Unidades!$C$2:$C$218,MATCH(C368,Unidades!$A$2:$A$218,0)),""))</f>
        <v/>
      </c>
      <c r="F368" s="12"/>
      <c r="G368" s="12"/>
      <c r="H368" s="12"/>
      <c r="I368" s="12"/>
      <c r="J368" s="12"/>
      <c r="K368" s="19"/>
      <c r="L368" s="12"/>
      <c r="M368" s="11" t="str">
        <f aca="false">IF(L368="","",IFERROR(INDEX(Prioridade_SLA!$B$2:$B$5,MATCH(L368,Prioridade_SLA!$A$2:$A$5,0)),""))</f>
        <v/>
      </c>
      <c r="N368" s="16" t="str">
        <f aca="false">IF(OR(B368="",M368=""),"",B368+M368/24)</f>
        <v/>
      </c>
      <c r="O368" s="12"/>
      <c r="P368" s="12"/>
      <c r="Q368" s="18"/>
      <c r="R368" s="17" t="str">
        <f aca="false">IF(OR(B368="",Q368=""),"",(Q368-B368)*24)</f>
        <v/>
      </c>
      <c r="S368" s="11" t="str">
        <f aca="false">IF(OR(N368="",Q368=""),"",IF(Q368&lt;=N368,"Sim","Não"))</f>
        <v/>
      </c>
      <c r="T368" s="19"/>
      <c r="U368" s="12"/>
      <c r="V368" s="12"/>
    </row>
    <row r="369" customFormat="false" ht="15" hidden="false" customHeight="false" outlineLevel="0" collapsed="false">
      <c r="A369" s="12"/>
      <c r="B369" s="18"/>
      <c r="C369" s="12"/>
      <c r="D369" s="11" t="str">
        <f aca="false">IF(C369="","",IFERROR(INDEX(Unidades!$B$2:$B$218,MATCH(C369,Unidades!$A$2:$A$218,0)),"Código não encontrado"))</f>
        <v/>
      </c>
      <c r="E369" s="11" t="str">
        <f aca="false">IF(C369="","",IFERROR(INDEX(Unidades!$C$2:$C$218,MATCH(C369,Unidades!$A$2:$A$218,0)),""))</f>
        <v/>
      </c>
      <c r="F369" s="12"/>
      <c r="G369" s="12"/>
      <c r="H369" s="12"/>
      <c r="I369" s="12"/>
      <c r="J369" s="12"/>
      <c r="K369" s="19"/>
      <c r="L369" s="12"/>
      <c r="M369" s="11" t="str">
        <f aca="false">IF(L369="","",IFERROR(INDEX(Prioridade_SLA!$B$2:$B$5,MATCH(L369,Prioridade_SLA!$A$2:$A$5,0)),""))</f>
        <v/>
      </c>
      <c r="N369" s="16" t="str">
        <f aca="false">IF(OR(B369="",M369=""),"",B369+M369/24)</f>
        <v/>
      </c>
      <c r="O369" s="12"/>
      <c r="P369" s="12"/>
      <c r="Q369" s="18"/>
      <c r="R369" s="17" t="str">
        <f aca="false">IF(OR(B369="",Q369=""),"",(Q369-B369)*24)</f>
        <v/>
      </c>
      <c r="S369" s="11" t="str">
        <f aca="false">IF(OR(N369="",Q369=""),"",IF(Q369&lt;=N369,"Sim","Não"))</f>
        <v/>
      </c>
      <c r="T369" s="19"/>
      <c r="U369" s="12"/>
      <c r="V369" s="12"/>
    </row>
    <row r="370" customFormat="false" ht="15" hidden="false" customHeight="false" outlineLevel="0" collapsed="false">
      <c r="A370" s="12"/>
      <c r="B370" s="18"/>
      <c r="C370" s="12"/>
      <c r="D370" s="11" t="str">
        <f aca="false">IF(C370="","",IFERROR(INDEX(Unidades!$B$2:$B$218,MATCH(C370,Unidades!$A$2:$A$218,0)),"Código não encontrado"))</f>
        <v/>
      </c>
      <c r="E370" s="11" t="str">
        <f aca="false">IF(C370="","",IFERROR(INDEX(Unidades!$C$2:$C$218,MATCH(C370,Unidades!$A$2:$A$218,0)),""))</f>
        <v/>
      </c>
      <c r="F370" s="12"/>
      <c r="G370" s="12"/>
      <c r="H370" s="12"/>
      <c r="I370" s="12"/>
      <c r="J370" s="12"/>
      <c r="K370" s="19"/>
      <c r="L370" s="12"/>
      <c r="M370" s="11" t="str">
        <f aca="false">IF(L370="","",IFERROR(INDEX(Prioridade_SLA!$B$2:$B$5,MATCH(L370,Prioridade_SLA!$A$2:$A$5,0)),""))</f>
        <v/>
      </c>
      <c r="N370" s="16" t="str">
        <f aca="false">IF(OR(B370="",M370=""),"",B370+M370/24)</f>
        <v/>
      </c>
      <c r="O370" s="12"/>
      <c r="P370" s="12"/>
      <c r="Q370" s="18"/>
      <c r="R370" s="17" t="str">
        <f aca="false">IF(OR(B370="",Q370=""),"",(Q370-B370)*24)</f>
        <v/>
      </c>
      <c r="S370" s="11" t="str">
        <f aca="false">IF(OR(N370="",Q370=""),"",IF(Q370&lt;=N370,"Sim","Não"))</f>
        <v/>
      </c>
      <c r="T370" s="19"/>
      <c r="U370" s="12"/>
      <c r="V370" s="12"/>
    </row>
    <row r="371" customFormat="false" ht="15" hidden="false" customHeight="false" outlineLevel="0" collapsed="false">
      <c r="A371" s="12"/>
      <c r="B371" s="18"/>
      <c r="C371" s="12"/>
      <c r="D371" s="11" t="str">
        <f aca="false">IF(C371="","",IFERROR(INDEX(Unidades!$B$2:$B$218,MATCH(C371,Unidades!$A$2:$A$218,0)),"Código não encontrado"))</f>
        <v/>
      </c>
      <c r="E371" s="11" t="str">
        <f aca="false">IF(C371="","",IFERROR(INDEX(Unidades!$C$2:$C$218,MATCH(C371,Unidades!$A$2:$A$218,0)),""))</f>
        <v/>
      </c>
      <c r="F371" s="12"/>
      <c r="G371" s="12"/>
      <c r="H371" s="12"/>
      <c r="I371" s="12"/>
      <c r="J371" s="12"/>
      <c r="K371" s="19"/>
      <c r="L371" s="12"/>
      <c r="M371" s="11" t="str">
        <f aca="false">IF(L371="","",IFERROR(INDEX(Prioridade_SLA!$B$2:$B$5,MATCH(L371,Prioridade_SLA!$A$2:$A$5,0)),""))</f>
        <v/>
      </c>
      <c r="N371" s="16" t="str">
        <f aca="false">IF(OR(B371="",M371=""),"",B371+M371/24)</f>
        <v/>
      </c>
      <c r="O371" s="12"/>
      <c r="P371" s="12"/>
      <c r="Q371" s="18"/>
      <c r="R371" s="17" t="str">
        <f aca="false">IF(OR(B371="",Q371=""),"",(Q371-B371)*24)</f>
        <v/>
      </c>
      <c r="S371" s="11" t="str">
        <f aca="false">IF(OR(N371="",Q371=""),"",IF(Q371&lt;=N371,"Sim","Não"))</f>
        <v/>
      </c>
      <c r="T371" s="19"/>
      <c r="U371" s="12"/>
      <c r="V371" s="12"/>
    </row>
    <row r="372" customFormat="false" ht="15" hidden="false" customHeight="false" outlineLevel="0" collapsed="false">
      <c r="A372" s="12"/>
      <c r="B372" s="18"/>
      <c r="C372" s="12"/>
      <c r="D372" s="11" t="str">
        <f aca="false">IF(C372="","",IFERROR(INDEX(Unidades!$B$2:$B$218,MATCH(C372,Unidades!$A$2:$A$218,0)),"Código não encontrado"))</f>
        <v/>
      </c>
      <c r="E372" s="11" t="str">
        <f aca="false">IF(C372="","",IFERROR(INDEX(Unidades!$C$2:$C$218,MATCH(C372,Unidades!$A$2:$A$218,0)),""))</f>
        <v/>
      </c>
      <c r="F372" s="12"/>
      <c r="G372" s="12"/>
      <c r="H372" s="12"/>
      <c r="I372" s="12"/>
      <c r="J372" s="12"/>
      <c r="K372" s="19"/>
      <c r="L372" s="12"/>
      <c r="M372" s="11" t="str">
        <f aca="false">IF(L372="","",IFERROR(INDEX(Prioridade_SLA!$B$2:$B$5,MATCH(L372,Prioridade_SLA!$A$2:$A$5,0)),""))</f>
        <v/>
      </c>
      <c r="N372" s="16" t="str">
        <f aca="false">IF(OR(B372="",M372=""),"",B372+M372/24)</f>
        <v/>
      </c>
      <c r="O372" s="12"/>
      <c r="P372" s="12"/>
      <c r="Q372" s="18"/>
      <c r="R372" s="17" t="str">
        <f aca="false">IF(OR(B372="",Q372=""),"",(Q372-B372)*24)</f>
        <v/>
      </c>
      <c r="S372" s="11" t="str">
        <f aca="false">IF(OR(N372="",Q372=""),"",IF(Q372&lt;=N372,"Sim","Não"))</f>
        <v/>
      </c>
      <c r="T372" s="19"/>
      <c r="U372" s="12"/>
      <c r="V372" s="12"/>
    </row>
    <row r="373" customFormat="false" ht="15" hidden="false" customHeight="false" outlineLevel="0" collapsed="false">
      <c r="A373" s="12"/>
      <c r="B373" s="18"/>
      <c r="C373" s="12"/>
      <c r="D373" s="11" t="str">
        <f aca="false">IF(C373="","",IFERROR(INDEX(Unidades!$B$2:$B$218,MATCH(C373,Unidades!$A$2:$A$218,0)),"Código não encontrado"))</f>
        <v/>
      </c>
      <c r="E373" s="11" t="str">
        <f aca="false">IF(C373="","",IFERROR(INDEX(Unidades!$C$2:$C$218,MATCH(C373,Unidades!$A$2:$A$218,0)),""))</f>
        <v/>
      </c>
      <c r="F373" s="12"/>
      <c r="G373" s="12"/>
      <c r="H373" s="12"/>
      <c r="I373" s="12"/>
      <c r="J373" s="12"/>
      <c r="K373" s="19"/>
      <c r="L373" s="12"/>
      <c r="M373" s="11" t="str">
        <f aca="false">IF(L373="","",IFERROR(INDEX(Prioridade_SLA!$B$2:$B$5,MATCH(L373,Prioridade_SLA!$A$2:$A$5,0)),""))</f>
        <v/>
      </c>
      <c r="N373" s="16" t="str">
        <f aca="false">IF(OR(B373="",M373=""),"",B373+M373/24)</f>
        <v/>
      </c>
      <c r="O373" s="12"/>
      <c r="P373" s="12"/>
      <c r="Q373" s="18"/>
      <c r="R373" s="17" t="str">
        <f aca="false">IF(OR(B373="",Q373=""),"",(Q373-B373)*24)</f>
        <v/>
      </c>
      <c r="S373" s="11" t="str">
        <f aca="false">IF(OR(N373="",Q373=""),"",IF(Q373&lt;=N373,"Sim","Não"))</f>
        <v/>
      </c>
      <c r="T373" s="19"/>
      <c r="U373" s="12"/>
      <c r="V373" s="12"/>
    </row>
    <row r="374" customFormat="false" ht="15" hidden="false" customHeight="false" outlineLevel="0" collapsed="false">
      <c r="A374" s="12"/>
      <c r="B374" s="18"/>
      <c r="C374" s="12"/>
      <c r="D374" s="11" t="str">
        <f aca="false">IF(C374="","",IFERROR(INDEX(Unidades!$B$2:$B$218,MATCH(C374,Unidades!$A$2:$A$218,0)),"Código não encontrado"))</f>
        <v/>
      </c>
      <c r="E374" s="11" t="str">
        <f aca="false">IF(C374="","",IFERROR(INDEX(Unidades!$C$2:$C$218,MATCH(C374,Unidades!$A$2:$A$218,0)),""))</f>
        <v/>
      </c>
      <c r="F374" s="12"/>
      <c r="G374" s="12"/>
      <c r="H374" s="12"/>
      <c r="I374" s="12"/>
      <c r="J374" s="12"/>
      <c r="K374" s="19"/>
      <c r="L374" s="12"/>
      <c r="M374" s="11" t="str">
        <f aca="false">IF(L374="","",IFERROR(INDEX(Prioridade_SLA!$B$2:$B$5,MATCH(L374,Prioridade_SLA!$A$2:$A$5,0)),""))</f>
        <v/>
      </c>
      <c r="N374" s="16" t="str">
        <f aca="false">IF(OR(B374="",M374=""),"",B374+M374/24)</f>
        <v/>
      </c>
      <c r="O374" s="12"/>
      <c r="P374" s="12"/>
      <c r="Q374" s="18"/>
      <c r="R374" s="17" t="str">
        <f aca="false">IF(OR(B374="",Q374=""),"",(Q374-B374)*24)</f>
        <v/>
      </c>
      <c r="S374" s="11" t="str">
        <f aca="false">IF(OR(N374="",Q374=""),"",IF(Q374&lt;=N374,"Sim","Não"))</f>
        <v/>
      </c>
      <c r="T374" s="19"/>
      <c r="U374" s="12"/>
      <c r="V374" s="12"/>
    </row>
    <row r="375" customFormat="false" ht="15" hidden="false" customHeight="false" outlineLevel="0" collapsed="false">
      <c r="A375" s="12"/>
      <c r="B375" s="18"/>
      <c r="C375" s="12"/>
      <c r="D375" s="11" t="str">
        <f aca="false">IF(C375="","",IFERROR(INDEX(Unidades!$B$2:$B$218,MATCH(C375,Unidades!$A$2:$A$218,0)),"Código não encontrado"))</f>
        <v/>
      </c>
      <c r="E375" s="11" t="str">
        <f aca="false">IF(C375="","",IFERROR(INDEX(Unidades!$C$2:$C$218,MATCH(C375,Unidades!$A$2:$A$218,0)),""))</f>
        <v/>
      </c>
      <c r="F375" s="12"/>
      <c r="G375" s="12"/>
      <c r="H375" s="12"/>
      <c r="I375" s="12"/>
      <c r="J375" s="12"/>
      <c r="K375" s="19"/>
      <c r="L375" s="12"/>
      <c r="M375" s="11" t="str">
        <f aca="false">IF(L375="","",IFERROR(INDEX(Prioridade_SLA!$B$2:$B$5,MATCH(L375,Prioridade_SLA!$A$2:$A$5,0)),""))</f>
        <v/>
      </c>
      <c r="N375" s="16" t="str">
        <f aca="false">IF(OR(B375="",M375=""),"",B375+M375/24)</f>
        <v/>
      </c>
      <c r="O375" s="12"/>
      <c r="P375" s="12"/>
      <c r="Q375" s="18"/>
      <c r="R375" s="17" t="str">
        <f aca="false">IF(OR(B375="",Q375=""),"",(Q375-B375)*24)</f>
        <v/>
      </c>
      <c r="S375" s="11" t="str">
        <f aca="false">IF(OR(N375="",Q375=""),"",IF(Q375&lt;=N375,"Sim","Não"))</f>
        <v/>
      </c>
      <c r="T375" s="19"/>
      <c r="U375" s="12"/>
      <c r="V375" s="12"/>
    </row>
    <row r="376" customFormat="false" ht="15" hidden="false" customHeight="false" outlineLevel="0" collapsed="false">
      <c r="A376" s="12"/>
      <c r="B376" s="18"/>
      <c r="C376" s="12"/>
      <c r="D376" s="11" t="str">
        <f aca="false">IF(C376="","",IFERROR(INDEX(Unidades!$B$2:$B$218,MATCH(C376,Unidades!$A$2:$A$218,0)),"Código não encontrado"))</f>
        <v/>
      </c>
      <c r="E376" s="11" t="str">
        <f aca="false">IF(C376="","",IFERROR(INDEX(Unidades!$C$2:$C$218,MATCH(C376,Unidades!$A$2:$A$218,0)),""))</f>
        <v/>
      </c>
      <c r="F376" s="12"/>
      <c r="G376" s="12"/>
      <c r="H376" s="12"/>
      <c r="I376" s="12"/>
      <c r="J376" s="12"/>
      <c r="K376" s="19"/>
      <c r="L376" s="12"/>
      <c r="M376" s="11" t="str">
        <f aca="false">IF(L376="","",IFERROR(INDEX(Prioridade_SLA!$B$2:$B$5,MATCH(L376,Prioridade_SLA!$A$2:$A$5,0)),""))</f>
        <v/>
      </c>
      <c r="N376" s="16" t="str">
        <f aca="false">IF(OR(B376="",M376=""),"",B376+M376/24)</f>
        <v/>
      </c>
      <c r="O376" s="12"/>
      <c r="P376" s="12"/>
      <c r="Q376" s="18"/>
      <c r="R376" s="17" t="str">
        <f aca="false">IF(OR(B376="",Q376=""),"",(Q376-B376)*24)</f>
        <v/>
      </c>
      <c r="S376" s="11" t="str">
        <f aca="false">IF(OR(N376="",Q376=""),"",IF(Q376&lt;=N376,"Sim","Não"))</f>
        <v/>
      </c>
      <c r="T376" s="19"/>
      <c r="U376" s="12"/>
      <c r="V376" s="12"/>
    </row>
    <row r="377" customFormat="false" ht="15" hidden="false" customHeight="false" outlineLevel="0" collapsed="false">
      <c r="A377" s="12"/>
      <c r="B377" s="18"/>
      <c r="C377" s="12"/>
      <c r="D377" s="11" t="str">
        <f aca="false">IF(C377="","",IFERROR(INDEX(Unidades!$B$2:$B$218,MATCH(C377,Unidades!$A$2:$A$218,0)),"Código não encontrado"))</f>
        <v/>
      </c>
      <c r="E377" s="11" t="str">
        <f aca="false">IF(C377="","",IFERROR(INDEX(Unidades!$C$2:$C$218,MATCH(C377,Unidades!$A$2:$A$218,0)),""))</f>
        <v/>
      </c>
      <c r="F377" s="12"/>
      <c r="G377" s="12"/>
      <c r="H377" s="12"/>
      <c r="I377" s="12"/>
      <c r="J377" s="12"/>
      <c r="K377" s="19"/>
      <c r="L377" s="12"/>
      <c r="M377" s="11" t="str">
        <f aca="false">IF(L377="","",IFERROR(INDEX(Prioridade_SLA!$B$2:$B$5,MATCH(L377,Prioridade_SLA!$A$2:$A$5,0)),""))</f>
        <v/>
      </c>
      <c r="N377" s="16" t="str">
        <f aca="false">IF(OR(B377="",M377=""),"",B377+M377/24)</f>
        <v/>
      </c>
      <c r="O377" s="12"/>
      <c r="P377" s="12"/>
      <c r="Q377" s="18"/>
      <c r="R377" s="17" t="str">
        <f aca="false">IF(OR(B377="",Q377=""),"",(Q377-B377)*24)</f>
        <v/>
      </c>
      <c r="S377" s="11" t="str">
        <f aca="false">IF(OR(N377="",Q377=""),"",IF(Q377&lt;=N377,"Sim","Não"))</f>
        <v/>
      </c>
      <c r="T377" s="19"/>
      <c r="U377" s="12"/>
      <c r="V377" s="12"/>
    </row>
    <row r="378" customFormat="false" ht="15" hidden="false" customHeight="false" outlineLevel="0" collapsed="false">
      <c r="A378" s="12"/>
      <c r="B378" s="18"/>
      <c r="C378" s="12"/>
      <c r="D378" s="11" t="str">
        <f aca="false">IF(C378="","",IFERROR(INDEX(Unidades!$B$2:$B$218,MATCH(C378,Unidades!$A$2:$A$218,0)),"Código não encontrado"))</f>
        <v/>
      </c>
      <c r="E378" s="11" t="str">
        <f aca="false">IF(C378="","",IFERROR(INDEX(Unidades!$C$2:$C$218,MATCH(C378,Unidades!$A$2:$A$218,0)),""))</f>
        <v/>
      </c>
      <c r="F378" s="12"/>
      <c r="G378" s="12"/>
      <c r="H378" s="12"/>
      <c r="I378" s="12"/>
      <c r="J378" s="12"/>
      <c r="K378" s="19"/>
      <c r="L378" s="12"/>
      <c r="M378" s="11" t="str">
        <f aca="false">IF(L378="","",IFERROR(INDEX(Prioridade_SLA!$B$2:$B$5,MATCH(L378,Prioridade_SLA!$A$2:$A$5,0)),""))</f>
        <v/>
      </c>
      <c r="N378" s="16" t="str">
        <f aca="false">IF(OR(B378="",M378=""),"",B378+M378/24)</f>
        <v/>
      </c>
      <c r="O378" s="12"/>
      <c r="P378" s="12"/>
      <c r="Q378" s="18"/>
      <c r="R378" s="17" t="str">
        <f aca="false">IF(OR(B378="",Q378=""),"",(Q378-B378)*24)</f>
        <v/>
      </c>
      <c r="S378" s="11" t="str">
        <f aca="false">IF(OR(N378="",Q378=""),"",IF(Q378&lt;=N378,"Sim","Não"))</f>
        <v/>
      </c>
      <c r="T378" s="19"/>
      <c r="U378" s="12"/>
      <c r="V378" s="12"/>
    </row>
    <row r="379" customFormat="false" ht="15" hidden="false" customHeight="false" outlineLevel="0" collapsed="false">
      <c r="A379" s="12"/>
      <c r="B379" s="18"/>
      <c r="C379" s="12"/>
      <c r="D379" s="11" t="str">
        <f aca="false">IF(C379="","",IFERROR(INDEX(Unidades!$B$2:$B$218,MATCH(C379,Unidades!$A$2:$A$218,0)),"Código não encontrado"))</f>
        <v/>
      </c>
      <c r="E379" s="11" t="str">
        <f aca="false">IF(C379="","",IFERROR(INDEX(Unidades!$C$2:$C$218,MATCH(C379,Unidades!$A$2:$A$218,0)),""))</f>
        <v/>
      </c>
      <c r="F379" s="12"/>
      <c r="G379" s="12"/>
      <c r="H379" s="12"/>
      <c r="I379" s="12"/>
      <c r="J379" s="12"/>
      <c r="K379" s="19"/>
      <c r="L379" s="12"/>
      <c r="M379" s="11" t="str">
        <f aca="false">IF(L379="","",IFERROR(INDEX(Prioridade_SLA!$B$2:$B$5,MATCH(L379,Prioridade_SLA!$A$2:$A$5,0)),""))</f>
        <v/>
      </c>
      <c r="N379" s="16" t="str">
        <f aca="false">IF(OR(B379="",M379=""),"",B379+M379/24)</f>
        <v/>
      </c>
      <c r="O379" s="12"/>
      <c r="P379" s="12"/>
      <c r="Q379" s="18"/>
      <c r="R379" s="17" t="str">
        <f aca="false">IF(OR(B379="",Q379=""),"",(Q379-B379)*24)</f>
        <v/>
      </c>
      <c r="S379" s="11" t="str">
        <f aca="false">IF(OR(N379="",Q379=""),"",IF(Q379&lt;=N379,"Sim","Não"))</f>
        <v/>
      </c>
      <c r="T379" s="19"/>
      <c r="U379" s="12"/>
      <c r="V379" s="12"/>
    </row>
    <row r="380" customFormat="false" ht="15" hidden="false" customHeight="false" outlineLevel="0" collapsed="false">
      <c r="A380" s="12"/>
      <c r="B380" s="18"/>
      <c r="C380" s="12"/>
      <c r="D380" s="11" t="str">
        <f aca="false">IF(C380="","",IFERROR(INDEX(Unidades!$B$2:$B$218,MATCH(C380,Unidades!$A$2:$A$218,0)),"Código não encontrado"))</f>
        <v/>
      </c>
      <c r="E380" s="11" t="str">
        <f aca="false">IF(C380="","",IFERROR(INDEX(Unidades!$C$2:$C$218,MATCH(C380,Unidades!$A$2:$A$218,0)),""))</f>
        <v/>
      </c>
      <c r="F380" s="12"/>
      <c r="G380" s="12"/>
      <c r="H380" s="12"/>
      <c r="I380" s="12"/>
      <c r="J380" s="12"/>
      <c r="K380" s="19"/>
      <c r="L380" s="12"/>
      <c r="M380" s="11" t="str">
        <f aca="false">IF(L380="","",IFERROR(INDEX(Prioridade_SLA!$B$2:$B$5,MATCH(L380,Prioridade_SLA!$A$2:$A$5,0)),""))</f>
        <v/>
      </c>
      <c r="N380" s="16" t="str">
        <f aca="false">IF(OR(B380="",M380=""),"",B380+M380/24)</f>
        <v/>
      </c>
      <c r="O380" s="12"/>
      <c r="P380" s="12"/>
      <c r="Q380" s="18"/>
      <c r="R380" s="17" t="str">
        <f aca="false">IF(OR(B380="",Q380=""),"",(Q380-B380)*24)</f>
        <v/>
      </c>
      <c r="S380" s="11" t="str">
        <f aca="false">IF(OR(N380="",Q380=""),"",IF(Q380&lt;=N380,"Sim","Não"))</f>
        <v/>
      </c>
      <c r="T380" s="19"/>
      <c r="U380" s="12"/>
      <c r="V380" s="12"/>
    </row>
    <row r="381" customFormat="false" ht="15" hidden="false" customHeight="false" outlineLevel="0" collapsed="false">
      <c r="A381" s="12"/>
      <c r="B381" s="18"/>
      <c r="C381" s="12"/>
      <c r="D381" s="11" t="str">
        <f aca="false">IF(C381="","",IFERROR(INDEX(Unidades!$B$2:$B$218,MATCH(C381,Unidades!$A$2:$A$218,0)),"Código não encontrado"))</f>
        <v/>
      </c>
      <c r="E381" s="11" t="str">
        <f aca="false">IF(C381="","",IFERROR(INDEX(Unidades!$C$2:$C$218,MATCH(C381,Unidades!$A$2:$A$218,0)),""))</f>
        <v/>
      </c>
      <c r="F381" s="12"/>
      <c r="G381" s="12"/>
      <c r="H381" s="12"/>
      <c r="I381" s="12"/>
      <c r="J381" s="12"/>
      <c r="K381" s="19"/>
      <c r="L381" s="12"/>
      <c r="M381" s="11" t="str">
        <f aca="false">IF(L381="","",IFERROR(INDEX(Prioridade_SLA!$B$2:$B$5,MATCH(L381,Prioridade_SLA!$A$2:$A$5,0)),""))</f>
        <v/>
      </c>
      <c r="N381" s="16" t="str">
        <f aca="false">IF(OR(B381="",M381=""),"",B381+M381/24)</f>
        <v/>
      </c>
      <c r="O381" s="12"/>
      <c r="P381" s="12"/>
      <c r="Q381" s="18"/>
      <c r="R381" s="17" t="str">
        <f aca="false">IF(OR(B381="",Q381=""),"",(Q381-B381)*24)</f>
        <v/>
      </c>
      <c r="S381" s="11" t="str">
        <f aca="false">IF(OR(N381="",Q381=""),"",IF(Q381&lt;=N381,"Sim","Não"))</f>
        <v/>
      </c>
      <c r="T381" s="19"/>
      <c r="U381" s="12"/>
      <c r="V381" s="12"/>
    </row>
    <row r="382" customFormat="false" ht="15" hidden="false" customHeight="false" outlineLevel="0" collapsed="false">
      <c r="A382" s="12"/>
      <c r="B382" s="18"/>
      <c r="C382" s="12"/>
      <c r="D382" s="11" t="str">
        <f aca="false">IF(C382="","",IFERROR(INDEX(Unidades!$B$2:$B$218,MATCH(C382,Unidades!$A$2:$A$218,0)),"Código não encontrado"))</f>
        <v/>
      </c>
      <c r="E382" s="11" t="str">
        <f aca="false">IF(C382="","",IFERROR(INDEX(Unidades!$C$2:$C$218,MATCH(C382,Unidades!$A$2:$A$218,0)),""))</f>
        <v/>
      </c>
      <c r="F382" s="12"/>
      <c r="G382" s="12"/>
      <c r="H382" s="12"/>
      <c r="I382" s="12"/>
      <c r="J382" s="12"/>
      <c r="K382" s="19"/>
      <c r="L382" s="12"/>
      <c r="M382" s="11" t="str">
        <f aca="false">IF(L382="","",IFERROR(INDEX(Prioridade_SLA!$B$2:$B$5,MATCH(L382,Prioridade_SLA!$A$2:$A$5,0)),""))</f>
        <v/>
      </c>
      <c r="N382" s="16" t="str">
        <f aca="false">IF(OR(B382="",M382=""),"",B382+M382/24)</f>
        <v/>
      </c>
      <c r="O382" s="12"/>
      <c r="P382" s="12"/>
      <c r="Q382" s="18"/>
      <c r="R382" s="17" t="str">
        <f aca="false">IF(OR(B382="",Q382=""),"",(Q382-B382)*24)</f>
        <v/>
      </c>
      <c r="S382" s="11" t="str">
        <f aca="false">IF(OR(N382="",Q382=""),"",IF(Q382&lt;=N382,"Sim","Não"))</f>
        <v/>
      </c>
      <c r="T382" s="19"/>
      <c r="U382" s="12"/>
      <c r="V382" s="12"/>
    </row>
    <row r="383" customFormat="false" ht="15" hidden="false" customHeight="false" outlineLevel="0" collapsed="false">
      <c r="A383" s="12"/>
      <c r="B383" s="18"/>
      <c r="C383" s="12"/>
      <c r="D383" s="11" t="str">
        <f aca="false">IF(C383="","",IFERROR(INDEX(Unidades!$B$2:$B$218,MATCH(C383,Unidades!$A$2:$A$218,0)),"Código não encontrado"))</f>
        <v/>
      </c>
      <c r="E383" s="11" t="str">
        <f aca="false">IF(C383="","",IFERROR(INDEX(Unidades!$C$2:$C$218,MATCH(C383,Unidades!$A$2:$A$218,0)),""))</f>
        <v/>
      </c>
      <c r="F383" s="12"/>
      <c r="G383" s="12"/>
      <c r="H383" s="12"/>
      <c r="I383" s="12"/>
      <c r="J383" s="12"/>
      <c r="K383" s="19"/>
      <c r="L383" s="12"/>
      <c r="M383" s="11" t="str">
        <f aca="false">IF(L383="","",IFERROR(INDEX(Prioridade_SLA!$B$2:$B$5,MATCH(L383,Prioridade_SLA!$A$2:$A$5,0)),""))</f>
        <v/>
      </c>
      <c r="N383" s="16" t="str">
        <f aca="false">IF(OR(B383="",M383=""),"",B383+M383/24)</f>
        <v/>
      </c>
      <c r="O383" s="12"/>
      <c r="P383" s="12"/>
      <c r="Q383" s="18"/>
      <c r="R383" s="17" t="str">
        <f aca="false">IF(OR(B383="",Q383=""),"",(Q383-B383)*24)</f>
        <v/>
      </c>
      <c r="S383" s="11" t="str">
        <f aca="false">IF(OR(N383="",Q383=""),"",IF(Q383&lt;=N383,"Sim","Não"))</f>
        <v/>
      </c>
      <c r="T383" s="19"/>
      <c r="U383" s="12"/>
      <c r="V383" s="12"/>
    </row>
    <row r="384" customFormat="false" ht="15" hidden="false" customHeight="false" outlineLevel="0" collapsed="false">
      <c r="A384" s="12"/>
      <c r="B384" s="18"/>
      <c r="C384" s="12"/>
      <c r="D384" s="11" t="str">
        <f aca="false">IF(C384="","",IFERROR(INDEX(Unidades!$B$2:$B$218,MATCH(C384,Unidades!$A$2:$A$218,0)),"Código não encontrado"))</f>
        <v/>
      </c>
      <c r="E384" s="11" t="str">
        <f aca="false">IF(C384="","",IFERROR(INDEX(Unidades!$C$2:$C$218,MATCH(C384,Unidades!$A$2:$A$218,0)),""))</f>
        <v/>
      </c>
      <c r="F384" s="12"/>
      <c r="G384" s="12"/>
      <c r="H384" s="12"/>
      <c r="I384" s="12"/>
      <c r="J384" s="12"/>
      <c r="K384" s="19"/>
      <c r="L384" s="12"/>
      <c r="M384" s="11" t="str">
        <f aca="false">IF(L384="","",IFERROR(INDEX(Prioridade_SLA!$B$2:$B$5,MATCH(L384,Prioridade_SLA!$A$2:$A$5,0)),""))</f>
        <v/>
      </c>
      <c r="N384" s="16" t="str">
        <f aca="false">IF(OR(B384="",M384=""),"",B384+M384/24)</f>
        <v/>
      </c>
      <c r="O384" s="12"/>
      <c r="P384" s="12"/>
      <c r="Q384" s="18"/>
      <c r="R384" s="17" t="str">
        <f aca="false">IF(OR(B384="",Q384=""),"",(Q384-B384)*24)</f>
        <v/>
      </c>
      <c r="S384" s="11" t="str">
        <f aca="false">IF(OR(N384="",Q384=""),"",IF(Q384&lt;=N384,"Sim","Não"))</f>
        <v/>
      </c>
      <c r="T384" s="19"/>
      <c r="U384" s="12"/>
      <c r="V384" s="12"/>
    </row>
    <row r="385" customFormat="false" ht="15" hidden="false" customHeight="false" outlineLevel="0" collapsed="false">
      <c r="A385" s="12"/>
      <c r="B385" s="18"/>
      <c r="C385" s="12"/>
      <c r="D385" s="11" t="str">
        <f aca="false">IF(C385="","",IFERROR(INDEX(Unidades!$B$2:$B$218,MATCH(C385,Unidades!$A$2:$A$218,0)),"Código não encontrado"))</f>
        <v/>
      </c>
      <c r="E385" s="11" t="str">
        <f aca="false">IF(C385="","",IFERROR(INDEX(Unidades!$C$2:$C$218,MATCH(C385,Unidades!$A$2:$A$218,0)),""))</f>
        <v/>
      </c>
      <c r="F385" s="12"/>
      <c r="G385" s="12"/>
      <c r="H385" s="12"/>
      <c r="I385" s="12"/>
      <c r="J385" s="12"/>
      <c r="K385" s="19"/>
      <c r="L385" s="12"/>
      <c r="M385" s="11" t="str">
        <f aca="false">IF(L385="","",IFERROR(INDEX(Prioridade_SLA!$B$2:$B$5,MATCH(L385,Prioridade_SLA!$A$2:$A$5,0)),""))</f>
        <v/>
      </c>
      <c r="N385" s="16" t="str">
        <f aca="false">IF(OR(B385="",M385=""),"",B385+M385/24)</f>
        <v/>
      </c>
      <c r="O385" s="12"/>
      <c r="P385" s="12"/>
      <c r="Q385" s="18"/>
      <c r="R385" s="17" t="str">
        <f aca="false">IF(OR(B385="",Q385=""),"",(Q385-B385)*24)</f>
        <v/>
      </c>
      <c r="S385" s="11" t="str">
        <f aca="false">IF(OR(N385="",Q385=""),"",IF(Q385&lt;=N385,"Sim","Não"))</f>
        <v/>
      </c>
      <c r="T385" s="19"/>
      <c r="U385" s="12"/>
      <c r="V385" s="12"/>
    </row>
    <row r="386" customFormat="false" ht="15" hidden="false" customHeight="false" outlineLevel="0" collapsed="false">
      <c r="A386" s="12"/>
      <c r="B386" s="18"/>
      <c r="C386" s="12"/>
      <c r="D386" s="11" t="str">
        <f aca="false">IF(C386="","",IFERROR(INDEX(Unidades!$B$2:$B$218,MATCH(C386,Unidades!$A$2:$A$218,0)),"Código não encontrado"))</f>
        <v/>
      </c>
      <c r="E386" s="11" t="str">
        <f aca="false">IF(C386="","",IFERROR(INDEX(Unidades!$C$2:$C$218,MATCH(C386,Unidades!$A$2:$A$218,0)),""))</f>
        <v/>
      </c>
      <c r="F386" s="12"/>
      <c r="G386" s="12"/>
      <c r="H386" s="12"/>
      <c r="I386" s="12"/>
      <c r="J386" s="12"/>
      <c r="K386" s="19"/>
      <c r="L386" s="12"/>
      <c r="M386" s="11" t="str">
        <f aca="false">IF(L386="","",IFERROR(INDEX(Prioridade_SLA!$B$2:$B$5,MATCH(L386,Prioridade_SLA!$A$2:$A$5,0)),""))</f>
        <v/>
      </c>
      <c r="N386" s="16" t="str">
        <f aca="false">IF(OR(B386="",M386=""),"",B386+M386/24)</f>
        <v/>
      </c>
      <c r="O386" s="12"/>
      <c r="P386" s="12"/>
      <c r="Q386" s="18"/>
      <c r="R386" s="17" t="str">
        <f aca="false">IF(OR(B386="",Q386=""),"",(Q386-B386)*24)</f>
        <v/>
      </c>
      <c r="S386" s="11" t="str">
        <f aca="false">IF(OR(N386="",Q386=""),"",IF(Q386&lt;=N386,"Sim","Não"))</f>
        <v/>
      </c>
      <c r="T386" s="19"/>
      <c r="U386" s="12"/>
      <c r="V386" s="12"/>
    </row>
    <row r="387" customFormat="false" ht="15" hidden="false" customHeight="false" outlineLevel="0" collapsed="false">
      <c r="A387" s="12"/>
      <c r="B387" s="18"/>
      <c r="C387" s="12"/>
      <c r="D387" s="11" t="str">
        <f aca="false">IF(C387="","",IFERROR(INDEX(Unidades!$B$2:$B$218,MATCH(C387,Unidades!$A$2:$A$218,0)),"Código não encontrado"))</f>
        <v/>
      </c>
      <c r="E387" s="11" t="str">
        <f aca="false">IF(C387="","",IFERROR(INDEX(Unidades!$C$2:$C$218,MATCH(C387,Unidades!$A$2:$A$218,0)),""))</f>
        <v/>
      </c>
      <c r="F387" s="12"/>
      <c r="G387" s="12"/>
      <c r="H387" s="12"/>
      <c r="I387" s="12"/>
      <c r="J387" s="12"/>
      <c r="K387" s="19"/>
      <c r="L387" s="12"/>
      <c r="M387" s="11" t="str">
        <f aca="false">IF(L387="","",IFERROR(INDEX(Prioridade_SLA!$B$2:$B$5,MATCH(L387,Prioridade_SLA!$A$2:$A$5,0)),""))</f>
        <v/>
      </c>
      <c r="N387" s="16" t="str">
        <f aca="false">IF(OR(B387="",M387=""),"",B387+M387/24)</f>
        <v/>
      </c>
      <c r="O387" s="12"/>
      <c r="P387" s="12"/>
      <c r="Q387" s="18"/>
      <c r="R387" s="17" t="str">
        <f aca="false">IF(OR(B387="",Q387=""),"",(Q387-B387)*24)</f>
        <v/>
      </c>
      <c r="S387" s="11" t="str">
        <f aca="false">IF(OR(N387="",Q387=""),"",IF(Q387&lt;=N387,"Sim","Não"))</f>
        <v/>
      </c>
      <c r="T387" s="19"/>
      <c r="U387" s="12"/>
      <c r="V387" s="12"/>
    </row>
    <row r="388" customFormat="false" ht="15" hidden="false" customHeight="false" outlineLevel="0" collapsed="false">
      <c r="A388" s="12"/>
      <c r="B388" s="18"/>
      <c r="C388" s="12"/>
      <c r="D388" s="11" t="str">
        <f aca="false">IF(C388="","",IFERROR(INDEX(Unidades!$B$2:$B$218,MATCH(C388,Unidades!$A$2:$A$218,0)),"Código não encontrado"))</f>
        <v/>
      </c>
      <c r="E388" s="11" t="str">
        <f aca="false">IF(C388="","",IFERROR(INDEX(Unidades!$C$2:$C$218,MATCH(C388,Unidades!$A$2:$A$218,0)),""))</f>
        <v/>
      </c>
      <c r="F388" s="12"/>
      <c r="G388" s="12"/>
      <c r="H388" s="12"/>
      <c r="I388" s="12"/>
      <c r="J388" s="12"/>
      <c r="K388" s="19"/>
      <c r="L388" s="12"/>
      <c r="M388" s="11" t="str">
        <f aca="false">IF(L388="","",IFERROR(INDEX(Prioridade_SLA!$B$2:$B$5,MATCH(L388,Prioridade_SLA!$A$2:$A$5,0)),""))</f>
        <v/>
      </c>
      <c r="N388" s="16" t="str">
        <f aca="false">IF(OR(B388="",M388=""),"",B388+M388/24)</f>
        <v/>
      </c>
      <c r="O388" s="12"/>
      <c r="P388" s="12"/>
      <c r="Q388" s="18"/>
      <c r="R388" s="17" t="str">
        <f aca="false">IF(OR(B388="",Q388=""),"",(Q388-B388)*24)</f>
        <v/>
      </c>
      <c r="S388" s="11" t="str">
        <f aca="false">IF(OR(N388="",Q388=""),"",IF(Q388&lt;=N388,"Sim","Não"))</f>
        <v/>
      </c>
      <c r="T388" s="19"/>
      <c r="U388" s="12"/>
      <c r="V388" s="12"/>
    </row>
    <row r="389" customFormat="false" ht="15" hidden="false" customHeight="false" outlineLevel="0" collapsed="false">
      <c r="A389" s="12"/>
      <c r="B389" s="18"/>
      <c r="C389" s="12"/>
      <c r="D389" s="11" t="str">
        <f aca="false">IF(C389="","",IFERROR(INDEX(Unidades!$B$2:$B$218,MATCH(C389,Unidades!$A$2:$A$218,0)),"Código não encontrado"))</f>
        <v/>
      </c>
      <c r="E389" s="11" t="str">
        <f aca="false">IF(C389="","",IFERROR(INDEX(Unidades!$C$2:$C$218,MATCH(C389,Unidades!$A$2:$A$218,0)),""))</f>
        <v/>
      </c>
      <c r="F389" s="12"/>
      <c r="G389" s="12"/>
      <c r="H389" s="12"/>
      <c r="I389" s="12"/>
      <c r="J389" s="12"/>
      <c r="K389" s="19"/>
      <c r="L389" s="12"/>
      <c r="M389" s="11" t="str">
        <f aca="false">IF(L389="","",IFERROR(INDEX(Prioridade_SLA!$B$2:$B$5,MATCH(L389,Prioridade_SLA!$A$2:$A$5,0)),""))</f>
        <v/>
      </c>
      <c r="N389" s="16" t="str">
        <f aca="false">IF(OR(B389="",M389=""),"",B389+M389/24)</f>
        <v/>
      </c>
      <c r="O389" s="12"/>
      <c r="P389" s="12"/>
      <c r="Q389" s="18"/>
      <c r="R389" s="17" t="str">
        <f aca="false">IF(OR(B389="",Q389=""),"",(Q389-B389)*24)</f>
        <v/>
      </c>
      <c r="S389" s="11" t="str">
        <f aca="false">IF(OR(N389="",Q389=""),"",IF(Q389&lt;=N389,"Sim","Não"))</f>
        <v/>
      </c>
      <c r="T389" s="19"/>
      <c r="U389" s="12"/>
      <c r="V389" s="12"/>
    </row>
    <row r="390" customFormat="false" ht="15" hidden="false" customHeight="false" outlineLevel="0" collapsed="false">
      <c r="A390" s="12"/>
      <c r="B390" s="18"/>
      <c r="C390" s="12"/>
      <c r="D390" s="11" t="str">
        <f aca="false">IF(C390="","",IFERROR(INDEX(Unidades!$B$2:$B$218,MATCH(C390,Unidades!$A$2:$A$218,0)),"Código não encontrado"))</f>
        <v/>
      </c>
      <c r="E390" s="11" t="str">
        <f aca="false">IF(C390="","",IFERROR(INDEX(Unidades!$C$2:$C$218,MATCH(C390,Unidades!$A$2:$A$218,0)),""))</f>
        <v/>
      </c>
      <c r="F390" s="12"/>
      <c r="G390" s="12"/>
      <c r="H390" s="12"/>
      <c r="I390" s="12"/>
      <c r="J390" s="12"/>
      <c r="K390" s="19"/>
      <c r="L390" s="12"/>
      <c r="M390" s="11" t="str">
        <f aca="false">IF(L390="","",IFERROR(INDEX(Prioridade_SLA!$B$2:$B$5,MATCH(L390,Prioridade_SLA!$A$2:$A$5,0)),""))</f>
        <v/>
      </c>
      <c r="N390" s="16" t="str">
        <f aca="false">IF(OR(B390="",M390=""),"",B390+M390/24)</f>
        <v/>
      </c>
      <c r="O390" s="12"/>
      <c r="P390" s="12"/>
      <c r="Q390" s="18"/>
      <c r="R390" s="17" t="str">
        <f aca="false">IF(OR(B390="",Q390=""),"",(Q390-B390)*24)</f>
        <v/>
      </c>
      <c r="S390" s="11" t="str">
        <f aca="false">IF(OR(N390="",Q390=""),"",IF(Q390&lt;=N390,"Sim","Não"))</f>
        <v/>
      </c>
      <c r="T390" s="19"/>
      <c r="U390" s="12"/>
      <c r="V390" s="12"/>
    </row>
    <row r="391" customFormat="false" ht="15" hidden="false" customHeight="false" outlineLevel="0" collapsed="false">
      <c r="A391" s="12"/>
      <c r="B391" s="18"/>
      <c r="C391" s="12"/>
      <c r="D391" s="11" t="str">
        <f aca="false">IF(C391="","",IFERROR(INDEX(Unidades!$B$2:$B$218,MATCH(C391,Unidades!$A$2:$A$218,0)),"Código não encontrado"))</f>
        <v/>
      </c>
      <c r="E391" s="11" t="str">
        <f aca="false">IF(C391="","",IFERROR(INDEX(Unidades!$C$2:$C$218,MATCH(C391,Unidades!$A$2:$A$218,0)),""))</f>
        <v/>
      </c>
      <c r="F391" s="12"/>
      <c r="G391" s="12"/>
      <c r="H391" s="12"/>
      <c r="I391" s="12"/>
      <c r="J391" s="12"/>
      <c r="K391" s="19"/>
      <c r="L391" s="12"/>
      <c r="M391" s="11" t="str">
        <f aca="false">IF(L391="","",IFERROR(INDEX(Prioridade_SLA!$B$2:$B$5,MATCH(L391,Prioridade_SLA!$A$2:$A$5,0)),""))</f>
        <v/>
      </c>
      <c r="N391" s="16" t="str">
        <f aca="false">IF(OR(B391="",M391=""),"",B391+M391/24)</f>
        <v/>
      </c>
      <c r="O391" s="12"/>
      <c r="P391" s="12"/>
      <c r="Q391" s="18"/>
      <c r="R391" s="17" t="str">
        <f aca="false">IF(OR(B391="",Q391=""),"",(Q391-B391)*24)</f>
        <v/>
      </c>
      <c r="S391" s="11" t="str">
        <f aca="false">IF(OR(N391="",Q391=""),"",IF(Q391&lt;=N391,"Sim","Não"))</f>
        <v/>
      </c>
      <c r="T391" s="19"/>
      <c r="U391" s="12"/>
      <c r="V391" s="12"/>
    </row>
    <row r="392" customFormat="false" ht="15" hidden="false" customHeight="false" outlineLevel="0" collapsed="false">
      <c r="A392" s="12"/>
      <c r="B392" s="18"/>
      <c r="C392" s="12"/>
      <c r="D392" s="11" t="str">
        <f aca="false">IF(C392="","",IFERROR(INDEX(Unidades!$B$2:$B$218,MATCH(C392,Unidades!$A$2:$A$218,0)),"Código não encontrado"))</f>
        <v/>
      </c>
      <c r="E392" s="11" t="str">
        <f aca="false">IF(C392="","",IFERROR(INDEX(Unidades!$C$2:$C$218,MATCH(C392,Unidades!$A$2:$A$218,0)),""))</f>
        <v/>
      </c>
      <c r="F392" s="12"/>
      <c r="G392" s="12"/>
      <c r="H392" s="12"/>
      <c r="I392" s="12"/>
      <c r="J392" s="12"/>
      <c r="K392" s="19"/>
      <c r="L392" s="12"/>
      <c r="M392" s="11" t="str">
        <f aca="false">IF(L392="","",IFERROR(INDEX(Prioridade_SLA!$B$2:$B$5,MATCH(L392,Prioridade_SLA!$A$2:$A$5,0)),""))</f>
        <v/>
      </c>
      <c r="N392" s="16" t="str">
        <f aca="false">IF(OR(B392="",M392=""),"",B392+M392/24)</f>
        <v/>
      </c>
      <c r="O392" s="12"/>
      <c r="P392" s="12"/>
      <c r="Q392" s="18"/>
      <c r="R392" s="17" t="str">
        <f aca="false">IF(OR(B392="",Q392=""),"",(Q392-B392)*24)</f>
        <v/>
      </c>
      <c r="S392" s="11" t="str">
        <f aca="false">IF(OR(N392="",Q392=""),"",IF(Q392&lt;=N392,"Sim","Não"))</f>
        <v/>
      </c>
      <c r="T392" s="19"/>
      <c r="U392" s="12"/>
      <c r="V392" s="12"/>
    </row>
    <row r="393" customFormat="false" ht="15" hidden="false" customHeight="false" outlineLevel="0" collapsed="false">
      <c r="A393" s="12"/>
      <c r="B393" s="18"/>
      <c r="C393" s="12"/>
      <c r="D393" s="11" t="str">
        <f aca="false">IF(C393="","",IFERROR(INDEX(Unidades!$B$2:$B$218,MATCH(C393,Unidades!$A$2:$A$218,0)),"Código não encontrado"))</f>
        <v/>
      </c>
      <c r="E393" s="11" t="str">
        <f aca="false">IF(C393="","",IFERROR(INDEX(Unidades!$C$2:$C$218,MATCH(C393,Unidades!$A$2:$A$218,0)),""))</f>
        <v/>
      </c>
      <c r="F393" s="12"/>
      <c r="G393" s="12"/>
      <c r="H393" s="12"/>
      <c r="I393" s="12"/>
      <c r="J393" s="12"/>
      <c r="K393" s="19"/>
      <c r="L393" s="12"/>
      <c r="M393" s="11" t="str">
        <f aca="false">IF(L393="","",IFERROR(INDEX(Prioridade_SLA!$B$2:$B$5,MATCH(L393,Prioridade_SLA!$A$2:$A$5,0)),""))</f>
        <v/>
      </c>
      <c r="N393" s="16" t="str">
        <f aca="false">IF(OR(B393="",M393=""),"",B393+M393/24)</f>
        <v/>
      </c>
      <c r="O393" s="12"/>
      <c r="P393" s="12"/>
      <c r="Q393" s="18"/>
      <c r="R393" s="17" t="str">
        <f aca="false">IF(OR(B393="",Q393=""),"",(Q393-B393)*24)</f>
        <v/>
      </c>
      <c r="S393" s="11" t="str">
        <f aca="false">IF(OR(N393="",Q393=""),"",IF(Q393&lt;=N393,"Sim","Não"))</f>
        <v/>
      </c>
      <c r="T393" s="19"/>
      <c r="U393" s="12"/>
      <c r="V393" s="12"/>
    </row>
    <row r="394" customFormat="false" ht="15" hidden="false" customHeight="false" outlineLevel="0" collapsed="false">
      <c r="A394" s="12"/>
      <c r="B394" s="18"/>
      <c r="C394" s="12"/>
      <c r="D394" s="11" t="str">
        <f aca="false">IF(C394="","",IFERROR(INDEX(Unidades!$B$2:$B$218,MATCH(C394,Unidades!$A$2:$A$218,0)),"Código não encontrado"))</f>
        <v/>
      </c>
      <c r="E394" s="11" t="str">
        <f aca="false">IF(C394="","",IFERROR(INDEX(Unidades!$C$2:$C$218,MATCH(C394,Unidades!$A$2:$A$218,0)),""))</f>
        <v/>
      </c>
      <c r="F394" s="12"/>
      <c r="G394" s="12"/>
      <c r="H394" s="12"/>
      <c r="I394" s="12"/>
      <c r="J394" s="12"/>
      <c r="K394" s="19"/>
      <c r="L394" s="12"/>
      <c r="M394" s="11" t="str">
        <f aca="false">IF(L394="","",IFERROR(INDEX(Prioridade_SLA!$B$2:$B$5,MATCH(L394,Prioridade_SLA!$A$2:$A$5,0)),""))</f>
        <v/>
      </c>
      <c r="N394" s="16" t="str">
        <f aca="false">IF(OR(B394="",M394=""),"",B394+M394/24)</f>
        <v/>
      </c>
      <c r="O394" s="12"/>
      <c r="P394" s="12"/>
      <c r="Q394" s="18"/>
      <c r="R394" s="17" t="str">
        <f aca="false">IF(OR(B394="",Q394=""),"",(Q394-B394)*24)</f>
        <v/>
      </c>
      <c r="S394" s="11" t="str">
        <f aca="false">IF(OR(N394="",Q394=""),"",IF(Q394&lt;=N394,"Sim","Não"))</f>
        <v/>
      </c>
      <c r="T394" s="19"/>
      <c r="U394" s="12"/>
      <c r="V394" s="12"/>
    </row>
    <row r="395" customFormat="false" ht="15" hidden="false" customHeight="false" outlineLevel="0" collapsed="false">
      <c r="A395" s="12"/>
      <c r="B395" s="18"/>
      <c r="C395" s="12"/>
      <c r="D395" s="11" t="str">
        <f aca="false">IF(C395="","",IFERROR(INDEX(Unidades!$B$2:$B$218,MATCH(C395,Unidades!$A$2:$A$218,0)),"Código não encontrado"))</f>
        <v/>
      </c>
      <c r="E395" s="11" t="str">
        <f aca="false">IF(C395="","",IFERROR(INDEX(Unidades!$C$2:$C$218,MATCH(C395,Unidades!$A$2:$A$218,0)),""))</f>
        <v/>
      </c>
      <c r="F395" s="12"/>
      <c r="G395" s="12"/>
      <c r="H395" s="12"/>
      <c r="I395" s="12"/>
      <c r="J395" s="12"/>
      <c r="K395" s="19"/>
      <c r="L395" s="12"/>
      <c r="M395" s="11" t="str">
        <f aca="false">IF(L395="","",IFERROR(INDEX(Prioridade_SLA!$B$2:$B$5,MATCH(L395,Prioridade_SLA!$A$2:$A$5,0)),""))</f>
        <v/>
      </c>
      <c r="N395" s="16" t="str">
        <f aca="false">IF(OR(B395="",M395=""),"",B395+M395/24)</f>
        <v/>
      </c>
      <c r="O395" s="12"/>
      <c r="P395" s="12"/>
      <c r="Q395" s="18"/>
      <c r="R395" s="17" t="str">
        <f aca="false">IF(OR(B395="",Q395=""),"",(Q395-B395)*24)</f>
        <v/>
      </c>
      <c r="S395" s="11" t="str">
        <f aca="false">IF(OR(N395="",Q395=""),"",IF(Q395&lt;=N395,"Sim","Não"))</f>
        <v/>
      </c>
      <c r="T395" s="19"/>
      <c r="U395" s="12"/>
      <c r="V395" s="12"/>
    </row>
    <row r="396" customFormat="false" ht="15" hidden="false" customHeight="false" outlineLevel="0" collapsed="false">
      <c r="A396" s="12"/>
      <c r="B396" s="18"/>
      <c r="C396" s="12"/>
      <c r="D396" s="11" t="str">
        <f aca="false">IF(C396="","",IFERROR(INDEX(Unidades!$B$2:$B$218,MATCH(C396,Unidades!$A$2:$A$218,0)),"Código não encontrado"))</f>
        <v/>
      </c>
      <c r="E396" s="11" t="str">
        <f aca="false">IF(C396="","",IFERROR(INDEX(Unidades!$C$2:$C$218,MATCH(C396,Unidades!$A$2:$A$218,0)),""))</f>
        <v/>
      </c>
      <c r="F396" s="12"/>
      <c r="G396" s="12"/>
      <c r="H396" s="12"/>
      <c r="I396" s="12"/>
      <c r="J396" s="12"/>
      <c r="K396" s="19"/>
      <c r="L396" s="12"/>
      <c r="M396" s="11" t="str">
        <f aca="false">IF(L396="","",IFERROR(INDEX(Prioridade_SLA!$B$2:$B$5,MATCH(L396,Prioridade_SLA!$A$2:$A$5,0)),""))</f>
        <v/>
      </c>
      <c r="N396" s="16" t="str">
        <f aca="false">IF(OR(B396="",M396=""),"",B396+M396/24)</f>
        <v/>
      </c>
      <c r="O396" s="12"/>
      <c r="P396" s="12"/>
      <c r="Q396" s="18"/>
      <c r="R396" s="17" t="str">
        <f aca="false">IF(OR(B396="",Q396=""),"",(Q396-B396)*24)</f>
        <v/>
      </c>
      <c r="S396" s="11" t="str">
        <f aca="false">IF(OR(N396="",Q396=""),"",IF(Q396&lt;=N396,"Sim","Não"))</f>
        <v/>
      </c>
      <c r="T396" s="19"/>
      <c r="U396" s="12"/>
      <c r="V396" s="12"/>
    </row>
    <row r="397" customFormat="false" ht="15" hidden="false" customHeight="false" outlineLevel="0" collapsed="false">
      <c r="A397" s="12"/>
      <c r="B397" s="18"/>
      <c r="C397" s="12"/>
      <c r="D397" s="11" t="str">
        <f aca="false">IF(C397="","",IFERROR(INDEX(Unidades!$B$2:$B$218,MATCH(C397,Unidades!$A$2:$A$218,0)),"Código não encontrado"))</f>
        <v/>
      </c>
      <c r="E397" s="11" t="str">
        <f aca="false">IF(C397="","",IFERROR(INDEX(Unidades!$C$2:$C$218,MATCH(C397,Unidades!$A$2:$A$218,0)),""))</f>
        <v/>
      </c>
      <c r="F397" s="12"/>
      <c r="G397" s="12"/>
      <c r="H397" s="12"/>
      <c r="I397" s="12"/>
      <c r="J397" s="12"/>
      <c r="K397" s="19"/>
      <c r="L397" s="12"/>
      <c r="M397" s="11" t="str">
        <f aca="false">IF(L397="","",IFERROR(INDEX(Prioridade_SLA!$B$2:$B$5,MATCH(L397,Prioridade_SLA!$A$2:$A$5,0)),""))</f>
        <v/>
      </c>
      <c r="N397" s="16" t="str">
        <f aca="false">IF(OR(B397="",M397=""),"",B397+M397/24)</f>
        <v/>
      </c>
      <c r="O397" s="12"/>
      <c r="P397" s="12"/>
      <c r="Q397" s="18"/>
      <c r="R397" s="17" t="str">
        <f aca="false">IF(OR(B397="",Q397=""),"",(Q397-B397)*24)</f>
        <v/>
      </c>
      <c r="S397" s="11" t="str">
        <f aca="false">IF(OR(N397="",Q397=""),"",IF(Q397&lt;=N397,"Sim","Não"))</f>
        <v/>
      </c>
      <c r="T397" s="19"/>
      <c r="U397" s="12"/>
      <c r="V397" s="12"/>
    </row>
    <row r="398" customFormat="false" ht="15" hidden="false" customHeight="false" outlineLevel="0" collapsed="false">
      <c r="A398" s="12"/>
      <c r="B398" s="18"/>
      <c r="C398" s="12"/>
      <c r="D398" s="11" t="str">
        <f aca="false">IF(C398="","",IFERROR(INDEX(Unidades!$B$2:$B$218,MATCH(C398,Unidades!$A$2:$A$218,0)),"Código não encontrado"))</f>
        <v/>
      </c>
      <c r="E398" s="11" t="str">
        <f aca="false">IF(C398="","",IFERROR(INDEX(Unidades!$C$2:$C$218,MATCH(C398,Unidades!$A$2:$A$218,0)),""))</f>
        <v/>
      </c>
      <c r="F398" s="12"/>
      <c r="G398" s="12"/>
      <c r="H398" s="12"/>
      <c r="I398" s="12"/>
      <c r="J398" s="12"/>
      <c r="K398" s="19"/>
      <c r="L398" s="12"/>
      <c r="M398" s="11" t="str">
        <f aca="false">IF(L398="","",IFERROR(INDEX(Prioridade_SLA!$B$2:$B$5,MATCH(L398,Prioridade_SLA!$A$2:$A$5,0)),""))</f>
        <v/>
      </c>
      <c r="N398" s="16" t="str">
        <f aca="false">IF(OR(B398="",M398=""),"",B398+M398/24)</f>
        <v/>
      </c>
      <c r="O398" s="12"/>
      <c r="P398" s="12"/>
      <c r="Q398" s="18"/>
      <c r="R398" s="17" t="str">
        <f aca="false">IF(OR(B398="",Q398=""),"",(Q398-B398)*24)</f>
        <v/>
      </c>
      <c r="S398" s="11" t="str">
        <f aca="false">IF(OR(N398="",Q398=""),"",IF(Q398&lt;=N398,"Sim","Não"))</f>
        <v/>
      </c>
      <c r="T398" s="19"/>
      <c r="U398" s="12"/>
      <c r="V398" s="12"/>
    </row>
    <row r="399" customFormat="false" ht="15" hidden="false" customHeight="false" outlineLevel="0" collapsed="false">
      <c r="A399" s="12"/>
      <c r="B399" s="18"/>
      <c r="C399" s="12"/>
      <c r="D399" s="11" t="str">
        <f aca="false">IF(C399="","",IFERROR(INDEX(Unidades!$B$2:$B$218,MATCH(C399,Unidades!$A$2:$A$218,0)),"Código não encontrado"))</f>
        <v/>
      </c>
      <c r="E399" s="11" t="str">
        <f aca="false">IF(C399="","",IFERROR(INDEX(Unidades!$C$2:$C$218,MATCH(C399,Unidades!$A$2:$A$218,0)),""))</f>
        <v/>
      </c>
      <c r="F399" s="12"/>
      <c r="G399" s="12"/>
      <c r="H399" s="12"/>
      <c r="I399" s="12"/>
      <c r="J399" s="12"/>
      <c r="K399" s="19"/>
      <c r="L399" s="12"/>
      <c r="M399" s="11" t="str">
        <f aca="false">IF(L399="","",IFERROR(INDEX(Prioridade_SLA!$B$2:$B$5,MATCH(L399,Prioridade_SLA!$A$2:$A$5,0)),""))</f>
        <v/>
      </c>
      <c r="N399" s="16" t="str">
        <f aca="false">IF(OR(B399="",M399=""),"",B399+M399/24)</f>
        <v/>
      </c>
      <c r="O399" s="12"/>
      <c r="P399" s="12"/>
      <c r="Q399" s="18"/>
      <c r="R399" s="17" t="str">
        <f aca="false">IF(OR(B399="",Q399=""),"",(Q399-B399)*24)</f>
        <v/>
      </c>
      <c r="S399" s="11" t="str">
        <f aca="false">IF(OR(N399="",Q399=""),"",IF(Q399&lt;=N399,"Sim","Não"))</f>
        <v/>
      </c>
      <c r="T399" s="19"/>
      <c r="U399" s="12"/>
      <c r="V399" s="12"/>
    </row>
    <row r="400" customFormat="false" ht="15" hidden="false" customHeight="false" outlineLevel="0" collapsed="false">
      <c r="A400" s="12"/>
      <c r="B400" s="18"/>
      <c r="C400" s="12"/>
      <c r="D400" s="11" t="str">
        <f aca="false">IF(C400="","",IFERROR(INDEX(Unidades!$B$2:$B$218,MATCH(C400,Unidades!$A$2:$A$218,0)),"Código não encontrado"))</f>
        <v/>
      </c>
      <c r="E400" s="11" t="str">
        <f aca="false">IF(C400="","",IFERROR(INDEX(Unidades!$C$2:$C$218,MATCH(C400,Unidades!$A$2:$A$218,0)),""))</f>
        <v/>
      </c>
      <c r="F400" s="12"/>
      <c r="G400" s="12"/>
      <c r="H400" s="12"/>
      <c r="I400" s="12"/>
      <c r="J400" s="12"/>
      <c r="K400" s="19"/>
      <c r="L400" s="12"/>
      <c r="M400" s="11" t="str">
        <f aca="false">IF(L400="","",IFERROR(INDEX(Prioridade_SLA!$B$2:$B$5,MATCH(L400,Prioridade_SLA!$A$2:$A$5,0)),""))</f>
        <v/>
      </c>
      <c r="N400" s="16" t="str">
        <f aca="false">IF(OR(B400="",M400=""),"",B400+M400/24)</f>
        <v/>
      </c>
      <c r="O400" s="12"/>
      <c r="P400" s="12"/>
      <c r="Q400" s="18"/>
      <c r="R400" s="17" t="str">
        <f aca="false">IF(OR(B400="",Q400=""),"",(Q400-B400)*24)</f>
        <v/>
      </c>
      <c r="S400" s="11" t="str">
        <f aca="false">IF(OR(N400="",Q400=""),"",IF(Q400&lt;=N400,"Sim","Não"))</f>
        <v/>
      </c>
      <c r="T400" s="19"/>
      <c r="U400" s="12"/>
      <c r="V400" s="12"/>
    </row>
    <row r="401" customFormat="false" ht="15" hidden="false" customHeight="false" outlineLevel="0" collapsed="false">
      <c r="A401" s="12"/>
      <c r="B401" s="18"/>
      <c r="C401" s="12"/>
      <c r="D401" s="11" t="str">
        <f aca="false">IF(C401="","",IFERROR(INDEX(Unidades!$B$2:$B$218,MATCH(C401,Unidades!$A$2:$A$218,0)),"Código não encontrado"))</f>
        <v/>
      </c>
      <c r="E401" s="11" t="str">
        <f aca="false">IF(C401="","",IFERROR(INDEX(Unidades!$C$2:$C$218,MATCH(C401,Unidades!$A$2:$A$218,0)),""))</f>
        <v/>
      </c>
      <c r="F401" s="12"/>
      <c r="G401" s="12"/>
      <c r="H401" s="12"/>
      <c r="I401" s="12"/>
      <c r="J401" s="12"/>
      <c r="K401" s="19"/>
      <c r="L401" s="12"/>
      <c r="M401" s="11" t="str">
        <f aca="false">IF(L401="","",IFERROR(INDEX(Prioridade_SLA!$B$2:$B$5,MATCH(L401,Prioridade_SLA!$A$2:$A$5,0)),""))</f>
        <v/>
      </c>
      <c r="N401" s="16" t="str">
        <f aca="false">IF(OR(B401="",M401=""),"",B401+M401/24)</f>
        <v/>
      </c>
      <c r="O401" s="12"/>
      <c r="P401" s="12"/>
      <c r="Q401" s="18"/>
      <c r="R401" s="17" t="str">
        <f aca="false">IF(OR(B401="",Q401=""),"",(Q401-B401)*24)</f>
        <v/>
      </c>
      <c r="S401" s="11" t="str">
        <f aca="false">IF(OR(N401="",Q401=""),"",IF(Q401&lt;=N401,"Sim","Não"))</f>
        <v/>
      </c>
      <c r="T401" s="19"/>
      <c r="U401" s="12"/>
      <c r="V401" s="12"/>
    </row>
    <row r="402" customFormat="false" ht="15" hidden="false" customHeight="false" outlineLevel="0" collapsed="false">
      <c r="A402" s="12"/>
      <c r="B402" s="18"/>
      <c r="C402" s="12"/>
      <c r="D402" s="11" t="str">
        <f aca="false">IF(C402="","",IFERROR(INDEX(Unidades!$B$2:$B$218,MATCH(C402,Unidades!$A$2:$A$218,0)),"Código não encontrado"))</f>
        <v/>
      </c>
      <c r="E402" s="11" t="str">
        <f aca="false">IF(C402="","",IFERROR(INDEX(Unidades!$C$2:$C$218,MATCH(C402,Unidades!$A$2:$A$218,0)),""))</f>
        <v/>
      </c>
      <c r="F402" s="12"/>
      <c r="G402" s="12"/>
      <c r="H402" s="12"/>
      <c r="I402" s="12"/>
      <c r="J402" s="12"/>
      <c r="K402" s="19"/>
      <c r="L402" s="12"/>
      <c r="M402" s="11" t="str">
        <f aca="false">IF(L402="","",IFERROR(INDEX(Prioridade_SLA!$B$2:$B$5,MATCH(L402,Prioridade_SLA!$A$2:$A$5,0)),""))</f>
        <v/>
      </c>
      <c r="N402" s="16" t="str">
        <f aca="false">IF(OR(B402="",M402=""),"",B402+M402/24)</f>
        <v/>
      </c>
      <c r="O402" s="12"/>
      <c r="P402" s="12"/>
      <c r="Q402" s="18"/>
      <c r="R402" s="17" t="str">
        <f aca="false">IF(OR(B402="",Q402=""),"",(Q402-B402)*24)</f>
        <v/>
      </c>
      <c r="S402" s="11" t="str">
        <f aca="false">IF(OR(N402="",Q402=""),"",IF(Q402&lt;=N402,"Sim","Não"))</f>
        <v/>
      </c>
      <c r="T402" s="19"/>
      <c r="U402" s="12"/>
      <c r="V402" s="12"/>
    </row>
    <row r="403" customFormat="false" ht="15" hidden="false" customHeight="false" outlineLevel="0" collapsed="false">
      <c r="A403" s="12"/>
      <c r="B403" s="18"/>
      <c r="C403" s="12"/>
      <c r="D403" s="11" t="str">
        <f aca="false">IF(C403="","",IFERROR(INDEX(Unidades!$B$2:$B$218,MATCH(C403,Unidades!$A$2:$A$218,0)),"Código não encontrado"))</f>
        <v/>
      </c>
      <c r="E403" s="11" t="str">
        <f aca="false">IF(C403="","",IFERROR(INDEX(Unidades!$C$2:$C$218,MATCH(C403,Unidades!$A$2:$A$218,0)),""))</f>
        <v/>
      </c>
      <c r="F403" s="12"/>
      <c r="G403" s="12"/>
      <c r="H403" s="12"/>
      <c r="I403" s="12"/>
      <c r="J403" s="12"/>
      <c r="K403" s="19"/>
      <c r="L403" s="12"/>
      <c r="M403" s="11" t="str">
        <f aca="false">IF(L403="","",IFERROR(INDEX(Prioridade_SLA!$B$2:$B$5,MATCH(L403,Prioridade_SLA!$A$2:$A$5,0)),""))</f>
        <v/>
      </c>
      <c r="N403" s="16" t="str">
        <f aca="false">IF(OR(B403="",M403=""),"",B403+M403/24)</f>
        <v/>
      </c>
      <c r="O403" s="12"/>
      <c r="P403" s="12"/>
      <c r="Q403" s="18"/>
      <c r="R403" s="17" t="str">
        <f aca="false">IF(OR(B403="",Q403=""),"",(Q403-B403)*24)</f>
        <v/>
      </c>
      <c r="S403" s="11" t="str">
        <f aca="false">IF(OR(N403="",Q403=""),"",IF(Q403&lt;=N403,"Sim","Não"))</f>
        <v/>
      </c>
      <c r="T403" s="19"/>
      <c r="U403" s="12"/>
      <c r="V403" s="12"/>
    </row>
    <row r="404" customFormat="false" ht="15" hidden="false" customHeight="false" outlineLevel="0" collapsed="false">
      <c r="A404" s="12"/>
      <c r="B404" s="18"/>
      <c r="C404" s="12"/>
      <c r="D404" s="11" t="str">
        <f aca="false">IF(C404="","",IFERROR(INDEX(Unidades!$B$2:$B$218,MATCH(C404,Unidades!$A$2:$A$218,0)),"Código não encontrado"))</f>
        <v/>
      </c>
      <c r="E404" s="11" t="str">
        <f aca="false">IF(C404="","",IFERROR(INDEX(Unidades!$C$2:$C$218,MATCH(C404,Unidades!$A$2:$A$218,0)),""))</f>
        <v/>
      </c>
      <c r="F404" s="12"/>
      <c r="G404" s="12"/>
      <c r="H404" s="12"/>
      <c r="I404" s="12"/>
      <c r="J404" s="12"/>
      <c r="K404" s="19"/>
      <c r="L404" s="12"/>
      <c r="M404" s="11" t="str">
        <f aca="false">IF(L404="","",IFERROR(INDEX(Prioridade_SLA!$B$2:$B$5,MATCH(L404,Prioridade_SLA!$A$2:$A$5,0)),""))</f>
        <v/>
      </c>
      <c r="N404" s="16" t="str">
        <f aca="false">IF(OR(B404="",M404=""),"",B404+M404/24)</f>
        <v/>
      </c>
      <c r="O404" s="12"/>
      <c r="P404" s="12"/>
      <c r="Q404" s="18"/>
      <c r="R404" s="17" t="str">
        <f aca="false">IF(OR(B404="",Q404=""),"",(Q404-B404)*24)</f>
        <v/>
      </c>
      <c r="S404" s="11" t="str">
        <f aca="false">IF(OR(N404="",Q404=""),"",IF(Q404&lt;=N404,"Sim","Não"))</f>
        <v/>
      </c>
      <c r="T404" s="19"/>
      <c r="U404" s="12"/>
      <c r="V404" s="12"/>
    </row>
    <row r="405" customFormat="false" ht="15" hidden="false" customHeight="false" outlineLevel="0" collapsed="false">
      <c r="A405" s="12"/>
      <c r="B405" s="18"/>
      <c r="C405" s="12"/>
      <c r="D405" s="11" t="str">
        <f aca="false">IF(C405="","",IFERROR(INDEX(Unidades!$B$2:$B$218,MATCH(C405,Unidades!$A$2:$A$218,0)),"Código não encontrado"))</f>
        <v/>
      </c>
      <c r="E405" s="11" t="str">
        <f aca="false">IF(C405="","",IFERROR(INDEX(Unidades!$C$2:$C$218,MATCH(C405,Unidades!$A$2:$A$218,0)),""))</f>
        <v/>
      </c>
      <c r="F405" s="12"/>
      <c r="G405" s="12"/>
      <c r="H405" s="12"/>
      <c r="I405" s="12"/>
      <c r="J405" s="12"/>
      <c r="K405" s="19"/>
      <c r="L405" s="12"/>
      <c r="M405" s="11" t="str">
        <f aca="false">IF(L405="","",IFERROR(INDEX(Prioridade_SLA!$B$2:$B$5,MATCH(L405,Prioridade_SLA!$A$2:$A$5,0)),""))</f>
        <v/>
      </c>
      <c r="N405" s="16" t="str">
        <f aca="false">IF(OR(B405="",M405=""),"",B405+M405/24)</f>
        <v/>
      </c>
      <c r="O405" s="12"/>
      <c r="P405" s="12"/>
      <c r="Q405" s="18"/>
      <c r="R405" s="17" t="str">
        <f aca="false">IF(OR(B405="",Q405=""),"",(Q405-B405)*24)</f>
        <v/>
      </c>
      <c r="S405" s="11" t="str">
        <f aca="false">IF(OR(N405="",Q405=""),"",IF(Q405&lt;=N405,"Sim","Não"))</f>
        <v/>
      </c>
      <c r="T405" s="19"/>
      <c r="U405" s="12"/>
      <c r="V405" s="12"/>
    </row>
    <row r="406" customFormat="false" ht="15" hidden="false" customHeight="false" outlineLevel="0" collapsed="false">
      <c r="A406" s="12"/>
      <c r="B406" s="18"/>
      <c r="C406" s="12"/>
      <c r="D406" s="11" t="str">
        <f aca="false">IF(C406="","",IFERROR(INDEX(Unidades!$B$2:$B$218,MATCH(C406,Unidades!$A$2:$A$218,0)),"Código não encontrado"))</f>
        <v/>
      </c>
      <c r="E406" s="11" t="str">
        <f aca="false">IF(C406="","",IFERROR(INDEX(Unidades!$C$2:$C$218,MATCH(C406,Unidades!$A$2:$A$218,0)),""))</f>
        <v/>
      </c>
      <c r="F406" s="12"/>
      <c r="G406" s="12"/>
      <c r="H406" s="12"/>
      <c r="I406" s="12"/>
      <c r="J406" s="12"/>
      <c r="K406" s="19"/>
      <c r="L406" s="12"/>
      <c r="M406" s="11" t="str">
        <f aca="false">IF(L406="","",IFERROR(INDEX(Prioridade_SLA!$B$2:$B$5,MATCH(L406,Prioridade_SLA!$A$2:$A$5,0)),""))</f>
        <v/>
      </c>
      <c r="N406" s="16" t="str">
        <f aca="false">IF(OR(B406="",M406=""),"",B406+M406/24)</f>
        <v/>
      </c>
      <c r="O406" s="12"/>
      <c r="P406" s="12"/>
      <c r="Q406" s="18"/>
      <c r="R406" s="17" t="str">
        <f aca="false">IF(OR(B406="",Q406=""),"",(Q406-B406)*24)</f>
        <v/>
      </c>
      <c r="S406" s="11" t="str">
        <f aca="false">IF(OR(N406="",Q406=""),"",IF(Q406&lt;=N406,"Sim","Não"))</f>
        <v/>
      </c>
      <c r="T406" s="19"/>
      <c r="U406" s="12"/>
      <c r="V406" s="12"/>
    </row>
    <row r="407" customFormat="false" ht="15" hidden="false" customHeight="false" outlineLevel="0" collapsed="false">
      <c r="A407" s="12"/>
      <c r="B407" s="18"/>
      <c r="C407" s="12"/>
      <c r="D407" s="11" t="str">
        <f aca="false">IF(C407="","",IFERROR(INDEX(Unidades!$B$2:$B$218,MATCH(C407,Unidades!$A$2:$A$218,0)),"Código não encontrado"))</f>
        <v/>
      </c>
      <c r="E407" s="11" t="str">
        <f aca="false">IF(C407="","",IFERROR(INDEX(Unidades!$C$2:$C$218,MATCH(C407,Unidades!$A$2:$A$218,0)),""))</f>
        <v/>
      </c>
      <c r="F407" s="12"/>
      <c r="G407" s="12"/>
      <c r="H407" s="12"/>
      <c r="I407" s="12"/>
      <c r="J407" s="12"/>
      <c r="K407" s="19"/>
      <c r="L407" s="12"/>
      <c r="M407" s="11" t="str">
        <f aca="false">IF(L407="","",IFERROR(INDEX(Prioridade_SLA!$B$2:$B$5,MATCH(L407,Prioridade_SLA!$A$2:$A$5,0)),""))</f>
        <v/>
      </c>
      <c r="N407" s="16" t="str">
        <f aca="false">IF(OR(B407="",M407=""),"",B407+M407/24)</f>
        <v/>
      </c>
      <c r="O407" s="12"/>
      <c r="P407" s="12"/>
      <c r="Q407" s="18"/>
      <c r="R407" s="17" t="str">
        <f aca="false">IF(OR(B407="",Q407=""),"",(Q407-B407)*24)</f>
        <v/>
      </c>
      <c r="S407" s="11" t="str">
        <f aca="false">IF(OR(N407="",Q407=""),"",IF(Q407&lt;=N407,"Sim","Não"))</f>
        <v/>
      </c>
      <c r="T407" s="19"/>
      <c r="U407" s="12"/>
      <c r="V407" s="12"/>
    </row>
    <row r="408" customFormat="false" ht="15" hidden="false" customHeight="false" outlineLevel="0" collapsed="false">
      <c r="A408" s="12"/>
      <c r="B408" s="18"/>
      <c r="C408" s="12"/>
      <c r="D408" s="11" t="str">
        <f aca="false">IF(C408="","",IFERROR(INDEX(Unidades!$B$2:$B$218,MATCH(C408,Unidades!$A$2:$A$218,0)),"Código não encontrado"))</f>
        <v/>
      </c>
      <c r="E408" s="11" t="str">
        <f aca="false">IF(C408="","",IFERROR(INDEX(Unidades!$C$2:$C$218,MATCH(C408,Unidades!$A$2:$A$218,0)),""))</f>
        <v/>
      </c>
      <c r="F408" s="12"/>
      <c r="G408" s="12"/>
      <c r="H408" s="12"/>
      <c r="I408" s="12"/>
      <c r="J408" s="12"/>
      <c r="K408" s="19"/>
      <c r="L408" s="12"/>
      <c r="M408" s="11" t="str">
        <f aca="false">IF(L408="","",IFERROR(INDEX(Prioridade_SLA!$B$2:$B$5,MATCH(L408,Prioridade_SLA!$A$2:$A$5,0)),""))</f>
        <v/>
      </c>
      <c r="N408" s="16" t="str">
        <f aca="false">IF(OR(B408="",M408=""),"",B408+M408/24)</f>
        <v/>
      </c>
      <c r="O408" s="12"/>
      <c r="P408" s="12"/>
      <c r="Q408" s="18"/>
      <c r="R408" s="17" t="str">
        <f aca="false">IF(OR(B408="",Q408=""),"",(Q408-B408)*24)</f>
        <v/>
      </c>
      <c r="S408" s="11" t="str">
        <f aca="false">IF(OR(N408="",Q408=""),"",IF(Q408&lt;=N408,"Sim","Não"))</f>
        <v/>
      </c>
      <c r="T408" s="19"/>
      <c r="U408" s="12"/>
      <c r="V408" s="12"/>
    </row>
    <row r="409" customFormat="false" ht="15" hidden="false" customHeight="false" outlineLevel="0" collapsed="false">
      <c r="A409" s="12"/>
      <c r="B409" s="18"/>
      <c r="C409" s="12"/>
      <c r="D409" s="11" t="str">
        <f aca="false">IF(C409="","",IFERROR(INDEX(Unidades!$B$2:$B$218,MATCH(C409,Unidades!$A$2:$A$218,0)),"Código não encontrado"))</f>
        <v/>
      </c>
      <c r="E409" s="11" t="str">
        <f aca="false">IF(C409="","",IFERROR(INDEX(Unidades!$C$2:$C$218,MATCH(C409,Unidades!$A$2:$A$218,0)),""))</f>
        <v/>
      </c>
      <c r="F409" s="12"/>
      <c r="G409" s="12"/>
      <c r="H409" s="12"/>
      <c r="I409" s="12"/>
      <c r="J409" s="12"/>
      <c r="K409" s="19"/>
      <c r="L409" s="12"/>
      <c r="M409" s="11" t="str">
        <f aca="false">IF(L409="","",IFERROR(INDEX(Prioridade_SLA!$B$2:$B$5,MATCH(L409,Prioridade_SLA!$A$2:$A$5,0)),""))</f>
        <v/>
      </c>
      <c r="N409" s="16" t="str">
        <f aca="false">IF(OR(B409="",M409=""),"",B409+M409/24)</f>
        <v/>
      </c>
      <c r="O409" s="12"/>
      <c r="P409" s="12"/>
      <c r="Q409" s="18"/>
      <c r="R409" s="17" t="str">
        <f aca="false">IF(OR(B409="",Q409=""),"",(Q409-B409)*24)</f>
        <v/>
      </c>
      <c r="S409" s="11" t="str">
        <f aca="false">IF(OR(N409="",Q409=""),"",IF(Q409&lt;=N409,"Sim","Não"))</f>
        <v/>
      </c>
      <c r="T409" s="19"/>
      <c r="U409" s="12"/>
      <c r="V409" s="12"/>
    </row>
    <row r="410" customFormat="false" ht="15" hidden="false" customHeight="false" outlineLevel="0" collapsed="false">
      <c r="A410" s="12"/>
      <c r="B410" s="18"/>
      <c r="C410" s="12"/>
      <c r="D410" s="11" t="str">
        <f aca="false">IF(C410="","",IFERROR(INDEX(Unidades!$B$2:$B$218,MATCH(C410,Unidades!$A$2:$A$218,0)),"Código não encontrado"))</f>
        <v/>
      </c>
      <c r="E410" s="11" t="str">
        <f aca="false">IF(C410="","",IFERROR(INDEX(Unidades!$C$2:$C$218,MATCH(C410,Unidades!$A$2:$A$218,0)),""))</f>
        <v/>
      </c>
      <c r="F410" s="12"/>
      <c r="G410" s="12"/>
      <c r="H410" s="12"/>
      <c r="I410" s="12"/>
      <c r="J410" s="12"/>
      <c r="K410" s="19"/>
      <c r="L410" s="12"/>
      <c r="M410" s="11" t="str">
        <f aca="false">IF(L410="","",IFERROR(INDEX(Prioridade_SLA!$B$2:$B$5,MATCH(L410,Prioridade_SLA!$A$2:$A$5,0)),""))</f>
        <v/>
      </c>
      <c r="N410" s="16" t="str">
        <f aca="false">IF(OR(B410="",M410=""),"",B410+M410/24)</f>
        <v/>
      </c>
      <c r="O410" s="12"/>
      <c r="P410" s="12"/>
      <c r="Q410" s="18"/>
      <c r="R410" s="17" t="str">
        <f aca="false">IF(OR(B410="",Q410=""),"",(Q410-B410)*24)</f>
        <v/>
      </c>
      <c r="S410" s="11" t="str">
        <f aca="false">IF(OR(N410="",Q410=""),"",IF(Q410&lt;=N410,"Sim","Não"))</f>
        <v/>
      </c>
      <c r="T410" s="19"/>
      <c r="U410" s="12"/>
      <c r="V410" s="12"/>
    </row>
    <row r="411" customFormat="false" ht="15" hidden="false" customHeight="false" outlineLevel="0" collapsed="false">
      <c r="A411" s="12"/>
      <c r="B411" s="18"/>
      <c r="C411" s="12"/>
      <c r="D411" s="11" t="str">
        <f aca="false">IF(C411="","",IFERROR(INDEX(Unidades!$B$2:$B$218,MATCH(C411,Unidades!$A$2:$A$218,0)),"Código não encontrado"))</f>
        <v/>
      </c>
      <c r="E411" s="11" t="str">
        <f aca="false">IF(C411="","",IFERROR(INDEX(Unidades!$C$2:$C$218,MATCH(C411,Unidades!$A$2:$A$218,0)),""))</f>
        <v/>
      </c>
      <c r="F411" s="12"/>
      <c r="G411" s="12"/>
      <c r="H411" s="12"/>
      <c r="I411" s="12"/>
      <c r="J411" s="12"/>
      <c r="K411" s="19"/>
      <c r="L411" s="12"/>
      <c r="M411" s="11" t="str">
        <f aca="false">IF(L411="","",IFERROR(INDEX(Prioridade_SLA!$B$2:$B$5,MATCH(L411,Prioridade_SLA!$A$2:$A$5,0)),""))</f>
        <v/>
      </c>
      <c r="N411" s="16" t="str">
        <f aca="false">IF(OR(B411="",M411=""),"",B411+M411/24)</f>
        <v/>
      </c>
      <c r="O411" s="12"/>
      <c r="P411" s="12"/>
      <c r="Q411" s="18"/>
      <c r="R411" s="17" t="str">
        <f aca="false">IF(OR(B411="",Q411=""),"",(Q411-B411)*24)</f>
        <v/>
      </c>
      <c r="S411" s="11" t="str">
        <f aca="false">IF(OR(N411="",Q411=""),"",IF(Q411&lt;=N411,"Sim","Não"))</f>
        <v/>
      </c>
      <c r="T411" s="19"/>
      <c r="U411" s="12"/>
      <c r="V411" s="12"/>
    </row>
    <row r="412" customFormat="false" ht="15" hidden="false" customHeight="false" outlineLevel="0" collapsed="false">
      <c r="A412" s="12"/>
      <c r="B412" s="18"/>
      <c r="C412" s="12"/>
      <c r="D412" s="11" t="str">
        <f aca="false">IF(C412="","",IFERROR(INDEX(Unidades!$B$2:$B$218,MATCH(C412,Unidades!$A$2:$A$218,0)),"Código não encontrado"))</f>
        <v/>
      </c>
      <c r="E412" s="11" t="str">
        <f aca="false">IF(C412="","",IFERROR(INDEX(Unidades!$C$2:$C$218,MATCH(C412,Unidades!$A$2:$A$218,0)),""))</f>
        <v/>
      </c>
      <c r="F412" s="12"/>
      <c r="G412" s="12"/>
      <c r="H412" s="12"/>
      <c r="I412" s="12"/>
      <c r="J412" s="12"/>
      <c r="K412" s="19"/>
      <c r="L412" s="12"/>
      <c r="M412" s="11" t="str">
        <f aca="false">IF(L412="","",IFERROR(INDEX(Prioridade_SLA!$B$2:$B$5,MATCH(L412,Prioridade_SLA!$A$2:$A$5,0)),""))</f>
        <v/>
      </c>
      <c r="N412" s="16" t="str">
        <f aca="false">IF(OR(B412="",M412=""),"",B412+M412/24)</f>
        <v/>
      </c>
      <c r="O412" s="12"/>
      <c r="P412" s="12"/>
      <c r="Q412" s="18"/>
      <c r="R412" s="17" t="str">
        <f aca="false">IF(OR(B412="",Q412=""),"",(Q412-B412)*24)</f>
        <v/>
      </c>
      <c r="S412" s="11" t="str">
        <f aca="false">IF(OR(N412="",Q412=""),"",IF(Q412&lt;=N412,"Sim","Não"))</f>
        <v/>
      </c>
      <c r="T412" s="19"/>
      <c r="U412" s="12"/>
      <c r="V412" s="12"/>
    </row>
    <row r="413" customFormat="false" ht="15" hidden="false" customHeight="false" outlineLevel="0" collapsed="false">
      <c r="A413" s="12"/>
      <c r="B413" s="18"/>
      <c r="C413" s="12"/>
      <c r="D413" s="11" t="str">
        <f aca="false">IF(C413="","",IFERROR(INDEX(Unidades!$B$2:$B$218,MATCH(C413,Unidades!$A$2:$A$218,0)),"Código não encontrado"))</f>
        <v/>
      </c>
      <c r="E413" s="11" t="str">
        <f aca="false">IF(C413="","",IFERROR(INDEX(Unidades!$C$2:$C$218,MATCH(C413,Unidades!$A$2:$A$218,0)),""))</f>
        <v/>
      </c>
      <c r="F413" s="12"/>
      <c r="G413" s="12"/>
      <c r="H413" s="12"/>
      <c r="I413" s="12"/>
      <c r="J413" s="12"/>
      <c r="K413" s="19"/>
      <c r="L413" s="12"/>
      <c r="M413" s="11" t="str">
        <f aca="false">IF(L413="","",IFERROR(INDEX(Prioridade_SLA!$B$2:$B$5,MATCH(L413,Prioridade_SLA!$A$2:$A$5,0)),""))</f>
        <v/>
      </c>
      <c r="N413" s="16" t="str">
        <f aca="false">IF(OR(B413="",M413=""),"",B413+M413/24)</f>
        <v/>
      </c>
      <c r="O413" s="12"/>
      <c r="P413" s="12"/>
      <c r="Q413" s="18"/>
      <c r="R413" s="17" t="str">
        <f aca="false">IF(OR(B413="",Q413=""),"",(Q413-B413)*24)</f>
        <v/>
      </c>
      <c r="S413" s="11" t="str">
        <f aca="false">IF(OR(N413="",Q413=""),"",IF(Q413&lt;=N413,"Sim","Não"))</f>
        <v/>
      </c>
      <c r="T413" s="19"/>
      <c r="U413" s="12"/>
      <c r="V413" s="12"/>
    </row>
    <row r="414" customFormat="false" ht="15" hidden="false" customHeight="false" outlineLevel="0" collapsed="false">
      <c r="A414" s="12"/>
      <c r="B414" s="18"/>
      <c r="C414" s="12"/>
      <c r="D414" s="11" t="str">
        <f aca="false">IF(C414="","",IFERROR(INDEX(Unidades!$B$2:$B$218,MATCH(C414,Unidades!$A$2:$A$218,0)),"Código não encontrado"))</f>
        <v/>
      </c>
      <c r="E414" s="11" t="str">
        <f aca="false">IF(C414="","",IFERROR(INDEX(Unidades!$C$2:$C$218,MATCH(C414,Unidades!$A$2:$A$218,0)),""))</f>
        <v/>
      </c>
      <c r="F414" s="12"/>
      <c r="G414" s="12"/>
      <c r="H414" s="12"/>
      <c r="I414" s="12"/>
      <c r="J414" s="12"/>
      <c r="K414" s="19"/>
      <c r="L414" s="12"/>
      <c r="M414" s="11" t="str">
        <f aca="false">IF(L414="","",IFERROR(INDEX(Prioridade_SLA!$B$2:$B$5,MATCH(L414,Prioridade_SLA!$A$2:$A$5,0)),""))</f>
        <v/>
      </c>
      <c r="N414" s="16" t="str">
        <f aca="false">IF(OR(B414="",M414=""),"",B414+M414/24)</f>
        <v/>
      </c>
      <c r="O414" s="12"/>
      <c r="P414" s="12"/>
      <c r="Q414" s="18"/>
      <c r="R414" s="17" t="str">
        <f aca="false">IF(OR(B414="",Q414=""),"",(Q414-B414)*24)</f>
        <v/>
      </c>
      <c r="S414" s="11" t="str">
        <f aca="false">IF(OR(N414="",Q414=""),"",IF(Q414&lt;=N414,"Sim","Não"))</f>
        <v/>
      </c>
      <c r="T414" s="19"/>
      <c r="U414" s="12"/>
      <c r="V414" s="12"/>
    </row>
    <row r="415" customFormat="false" ht="15" hidden="false" customHeight="false" outlineLevel="0" collapsed="false">
      <c r="A415" s="12"/>
      <c r="B415" s="18"/>
      <c r="C415" s="12"/>
      <c r="D415" s="11" t="str">
        <f aca="false">IF(C415="","",IFERROR(INDEX(Unidades!$B$2:$B$218,MATCH(C415,Unidades!$A$2:$A$218,0)),"Código não encontrado"))</f>
        <v/>
      </c>
      <c r="E415" s="11" t="str">
        <f aca="false">IF(C415="","",IFERROR(INDEX(Unidades!$C$2:$C$218,MATCH(C415,Unidades!$A$2:$A$218,0)),""))</f>
        <v/>
      </c>
      <c r="F415" s="12"/>
      <c r="G415" s="12"/>
      <c r="H415" s="12"/>
      <c r="I415" s="12"/>
      <c r="J415" s="12"/>
      <c r="K415" s="19"/>
      <c r="L415" s="12"/>
      <c r="M415" s="11" t="str">
        <f aca="false">IF(L415="","",IFERROR(INDEX(Prioridade_SLA!$B$2:$B$5,MATCH(L415,Prioridade_SLA!$A$2:$A$5,0)),""))</f>
        <v/>
      </c>
      <c r="N415" s="16" t="str">
        <f aca="false">IF(OR(B415="",M415=""),"",B415+M415/24)</f>
        <v/>
      </c>
      <c r="O415" s="12"/>
      <c r="P415" s="12"/>
      <c r="Q415" s="18"/>
      <c r="R415" s="17" t="str">
        <f aca="false">IF(OR(B415="",Q415=""),"",(Q415-B415)*24)</f>
        <v/>
      </c>
      <c r="S415" s="11" t="str">
        <f aca="false">IF(OR(N415="",Q415=""),"",IF(Q415&lt;=N415,"Sim","Não"))</f>
        <v/>
      </c>
      <c r="T415" s="19"/>
      <c r="U415" s="12"/>
      <c r="V415" s="12"/>
    </row>
    <row r="416" customFormat="false" ht="15" hidden="false" customHeight="false" outlineLevel="0" collapsed="false">
      <c r="A416" s="12"/>
      <c r="B416" s="18"/>
      <c r="C416" s="12"/>
      <c r="D416" s="11" t="str">
        <f aca="false">IF(C416="","",IFERROR(INDEX(Unidades!$B$2:$B$218,MATCH(C416,Unidades!$A$2:$A$218,0)),"Código não encontrado"))</f>
        <v/>
      </c>
      <c r="E416" s="11" t="str">
        <f aca="false">IF(C416="","",IFERROR(INDEX(Unidades!$C$2:$C$218,MATCH(C416,Unidades!$A$2:$A$218,0)),""))</f>
        <v/>
      </c>
      <c r="F416" s="12"/>
      <c r="G416" s="12"/>
      <c r="H416" s="12"/>
      <c r="I416" s="12"/>
      <c r="J416" s="12"/>
      <c r="K416" s="19"/>
      <c r="L416" s="12"/>
      <c r="M416" s="11" t="str">
        <f aca="false">IF(L416="","",IFERROR(INDEX(Prioridade_SLA!$B$2:$B$5,MATCH(L416,Prioridade_SLA!$A$2:$A$5,0)),""))</f>
        <v/>
      </c>
      <c r="N416" s="16" t="str">
        <f aca="false">IF(OR(B416="",M416=""),"",B416+M416/24)</f>
        <v/>
      </c>
      <c r="O416" s="12"/>
      <c r="P416" s="12"/>
      <c r="Q416" s="18"/>
      <c r="R416" s="17" t="str">
        <f aca="false">IF(OR(B416="",Q416=""),"",(Q416-B416)*24)</f>
        <v/>
      </c>
      <c r="S416" s="11" t="str">
        <f aca="false">IF(OR(N416="",Q416=""),"",IF(Q416&lt;=N416,"Sim","Não"))</f>
        <v/>
      </c>
      <c r="T416" s="19"/>
      <c r="U416" s="12"/>
      <c r="V416" s="12"/>
    </row>
    <row r="417" customFormat="false" ht="15" hidden="false" customHeight="false" outlineLevel="0" collapsed="false">
      <c r="A417" s="12"/>
      <c r="B417" s="18"/>
      <c r="C417" s="12"/>
      <c r="D417" s="11" t="str">
        <f aca="false">IF(C417="","",IFERROR(INDEX(Unidades!$B$2:$B$218,MATCH(C417,Unidades!$A$2:$A$218,0)),"Código não encontrado"))</f>
        <v/>
      </c>
      <c r="E417" s="11" t="str">
        <f aca="false">IF(C417="","",IFERROR(INDEX(Unidades!$C$2:$C$218,MATCH(C417,Unidades!$A$2:$A$218,0)),""))</f>
        <v/>
      </c>
      <c r="F417" s="12"/>
      <c r="G417" s="12"/>
      <c r="H417" s="12"/>
      <c r="I417" s="12"/>
      <c r="J417" s="12"/>
      <c r="K417" s="19"/>
      <c r="L417" s="12"/>
      <c r="M417" s="11" t="str">
        <f aca="false">IF(L417="","",IFERROR(INDEX(Prioridade_SLA!$B$2:$B$5,MATCH(L417,Prioridade_SLA!$A$2:$A$5,0)),""))</f>
        <v/>
      </c>
      <c r="N417" s="16" t="str">
        <f aca="false">IF(OR(B417="",M417=""),"",B417+M417/24)</f>
        <v/>
      </c>
      <c r="O417" s="12"/>
      <c r="P417" s="12"/>
      <c r="Q417" s="18"/>
      <c r="R417" s="17" t="str">
        <f aca="false">IF(OR(B417="",Q417=""),"",(Q417-B417)*24)</f>
        <v/>
      </c>
      <c r="S417" s="11" t="str">
        <f aca="false">IF(OR(N417="",Q417=""),"",IF(Q417&lt;=N417,"Sim","Não"))</f>
        <v/>
      </c>
      <c r="T417" s="19"/>
      <c r="U417" s="12"/>
      <c r="V417" s="12"/>
    </row>
    <row r="418" customFormat="false" ht="15" hidden="false" customHeight="false" outlineLevel="0" collapsed="false">
      <c r="A418" s="12"/>
      <c r="B418" s="18"/>
      <c r="C418" s="12"/>
      <c r="D418" s="11" t="str">
        <f aca="false">IF(C418="","",IFERROR(INDEX(Unidades!$B$2:$B$218,MATCH(C418,Unidades!$A$2:$A$218,0)),"Código não encontrado"))</f>
        <v/>
      </c>
      <c r="E418" s="11" t="str">
        <f aca="false">IF(C418="","",IFERROR(INDEX(Unidades!$C$2:$C$218,MATCH(C418,Unidades!$A$2:$A$218,0)),""))</f>
        <v/>
      </c>
      <c r="F418" s="12"/>
      <c r="G418" s="12"/>
      <c r="H418" s="12"/>
      <c r="I418" s="12"/>
      <c r="J418" s="12"/>
      <c r="K418" s="19"/>
      <c r="L418" s="12"/>
      <c r="M418" s="11" t="str">
        <f aca="false">IF(L418="","",IFERROR(INDEX(Prioridade_SLA!$B$2:$B$5,MATCH(L418,Prioridade_SLA!$A$2:$A$5,0)),""))</f>
        <v/>
      </c>
      <c r="N418" s="16" t="str">
        <f aca="false">IF(OR(B418="",M418=""),"",B418+M418/24)</f>
        <v/>
      </c>
      <c r="O418" s="12"/>
      <c r="P418" s="12"/>
      <c r="Q418" s="18"/>
      <c r="R418" s="17" t="str">
        <f aca="false">IF(OR(B418="",Q418=""),"",(Q418-B418)*24)</f>
        <v/>
      </c>
      <c r="S418" s="11" t="str">
        <f aca="false">IF(OR(N418="",Q418=""),"",IF(Q418&lt;=N418,"Sim","Não"))</f>
        <v/>
      </c>
      <c r="T418" s="19"/>
      <c r="U418" s="12"/>
      <c r="V418" s="12"/>
    </row>
    <row r="419" customFormat="false" ht="15" hidden="false" customHeight="false" outlineLevel="0" collapsed="false">
      <c r="A419" s="12"/>
      <c r="B419" s="18"/>
      <c r="C419" s="12"/>
      <c r="D419" s="11" t="str">
        <f aca="false">IF(C419="","",IFERROR(INDEX(Unidades!$B$2:$B$218,MATCH(C419,Unidades!$A$2:$A$218,0)),"Código não encontrado"))</f>
        <v/>
      </c>
      <c r="E419" s="11" t="str">
        <f aca="false">IF(C419="","",IFERROR(INDEX(Unidades!$C$2:$C$218,MATCH(C419,Unidades!$A$2:$A$218,0)),""))</f>
        <v/>
      </c>
      <c r="F419" s="12"/>
      <c r="G419" s="12"/>
      <c r="H419" s="12"/>
      <c r="I419" s="12"/>
      <c r="J419" s="12"/>
      <c r="K419" s="19"/>
      <c r="L419" s="12"/>
      <c r="M419" s="11" t="str">
        <f aca="false">IF(L419="","",IFERROR(INDEX(Prioridade_SLA!$B$2:$B$5,MATCH(L419,Prioridade_SLA!$A$2:$A$5,0)),""))</f>
        <v/>
      </c>
      <c r="N419" s="16" t="str">
        <f aca="false">IF(OR(B419="",M419=""),"",B419+M419/24)</f>
        <v/>
      </c>
      <c r="O419" s="12"/>
      <c r="P419" s="12"/>
      <c r="Q419" s="18"/>
      <c r="R419" s="17" t="str">
        <f aca="false">IF(OR(B419="",Q419=""),"",(Q419-B419)*24)</f>
        <v/>
      </c>
      <c r="S419" s="11" t="str">
        <f aca="false">IF(OR(N419="",Q419=""),"",IF(Q419&lt;=N419,"Sim","Não"))</f>
        <v/>
      </c>
      <c r="T419" s="19"/>
      <c r="U419" s="12"/>
      <c r="V419" s="12"/>
    </row>
    <row r="420" customFormat="false" ht="15" hidden="false" customHeight="false" outlineLevel="0" collapsed="false">
      <c r="A420" s="12"/>
      <c r="B420" s="18"/>
      <c r="C420" s="12"/>
      <c r="D420" s="11" t="str">
        <f aca="false">IF(C420="","",IFERROR(INDEX(Unidades!$B$2:$B$218,MATCH(C420,Unidades!$A$2:$A$218,0)),"Código não encontrado"))</f>
        <v/>
      </c>
      <c r="E420" s="11" t="str">
        <f aca="false">IF(C420="","",IFERROR(INDEX(Unidades!$C$2:$C$218,MATCH(C420,Unidades!$A$2:$A$218,0)),""))</f>
        <v/>
      </c>
      <c r="F420" s="12"/>
      <c r="G420" s="12"/>
      <c r="H420" s="12"/>
      <c r="I420" s="12"/>
      <c r="J420" s="12"/>
      <c r="K420" s="19"/>
      <c r="L420" s="12"/>
      <c r="M420" s="11" t="str">
        <f aca="false">IF(L420="","",IFERROR(INDEX(Prioridade_SLA!$B$2:$B$5,MATCH(L420,Prioridade_SLA!$A$2:$A$5,0)),""))</f>
        <v/>
      </c>
      <c r="N420" s="16" t="str">
        <f aca="false">IF(OR(B420="",M420=""),"",B420+M420/24)</f>
        <v/>
      </c>
      <c r="O420" s="12"/>
      <c r="P420" s="12"/>
      <c r="Q420" s="18"/>
      <c r="R420" s="17" t="str">
        <f aca="false">IF(OR(B420="",Q420=""),"",(Q420-B420)*24)</f>
        <v/>
      </c>
      <c r="S420" s="11" t="str">
        <f aca="false">IF(OR(N420="",Q420=""),"",IF(Q420&lt;=N420,"Sim","Não"))</f>
        <v/>
      </c>
      <c r="T420" s="19"/>
      <c r="U420" s="12"/>
      <c r="V420" s="12"/>
    </row>
    <row r="421" customFormat="false" ht="15" hidden="false" customHeight="false" outlineLevel="0" collapsed="false">
      <c r="A421" s="12"/>
      <c r="B421" s="18"/>
      <c r="C421" s="12"/>
      <c r="D421" s="11" t="str">
        <f aca="false">IF(C421="","",IFERROR(INDEX(Unidades!$B$2:$B$218,MATCH(C421,Unidades!$A$2:$A$218,0)),"Código não encontrado"))</f>
        <v/>
      </c>
      <c r="E421" s="11" t="str">
        <f aca="false">IF(C421="","",IFERROR(INDEX(Unidades!$C$2:$C$218,MATCH(C421,Unidades!$A$2:$A$218,0)),""))</f>
        <v/>
      </c>
      <c r="F421" s="12"/>
      <c r="G421" s="12"/>
      <c r="H421" s="12"/>
      <c r="I421" s="12"/>
      <c r="J421" s="12"/>
      <c r="K421" s="19"/>
      <c r="L421" s="12"/>
      <c r="M421" s="11" t="str">
        <f aca="false">IF(L421="","",IFERROR(INDEX(Prioridade_SLA!$B$2:$B$5,MATCH(L421,Prioridade_SLA!$A$2:$A$5,0)),""))</f>
        <v/>
      </c>
      <c r="N421" s="16" t="str">
        <f aca="false">IF(OR(B421="",M421=""),"",B421+M421/24)</f>
        <v/>
      </c>
      <c r="O421" s="12"/>
      <c r="P421" s="12"/>
      <c r="Q421" s="18"/>
      <c r="R421" s="17" t="str">
        <f aca="false">IF(OR(B421="",Q421=""),"",(Q421-B421)*24)</f>
        <v/>
      </c>
      <c r="S421" s="11" t="str">
        <f aca="false">IF(OR(N421="",Q421=""),"",IF(Q421&lt;=N421,"Sim","Não"))</f>
        <v/>
      </c>
      <c r="T421" s="19"/>
      <c r="U421" s="12"/>
      <c r="V421" s="12"/>
    </row>
    <row r="422" customFormat="false" ht="15" hidden="false" customHeight="false" outlineLevel="0" collapsed="false">
      <c r="A422" s="12"/>
      <c r="B422" s="18"/>
      <c r="C422" s="12"/>
      <c r="D422" s="11" t="str">
        <f aca="false">IF(C422="","",IFERROR(INDEX(Unidades!$B$2:$B$218,MATCH(C422,Unidades!$A$2:$A$218,0)),"Código não encontrado"))</f>
        <v/>
      </c>
      <c r="E422" s="11" t="str">
        <f aca="false">IF(C422="","",IFERROR(INDEX(Unidades!$C$2:$C$218,MATCH(C422,Unidades!$A$2:$A$218,0)),""))</f>
        <v/>
      </c>
      <c r="F422" s="12"/>
      <c r="G422" s="12"/>
      <c r="H422" s="12"/>
      <c r="I422" s="12"/>
      <c r="J422" s="12"/>
      <c r="K422" s="19"/>
      <c r="L422" s="12"/>
      <c r="M422" s="11" t="str">
        <f aca="false">IF(L422="","",IFERROR(INDEX(Prioridade_SLA!$B$2:$B$5,MATCH(L422,Prioridade_SLA!$A$2:$A$5,0)),""))</f>
        <v/>
      </c>
      <c r="N422" s="16" t="str">
        <f aca="false">IF(OR(B422="",M422=""),"",B422+M422/24)</f>
        <v/>
      </c>
      <c r="O422" s="12"/>
      <c r="P422" s="12"/>
      <c r="Q422" s="18"/>
      <c r="R422" s="17" t="str">
        <f aca="false">IF(OR(B422="",Q422=""),"",(Q422-B422)*24)</f>
        <v/>
      </c>
      <c r="S422" s="11" t="str">
        <f aca="false">IF(OR(N422="",Q422=""),"",IF(Q422&lt;=N422,"Sim","Não"))</f>
        <v/>
      </c>
      <c r="T422" s="19"/>
      <c r="U422" s="12"/>
      <c r="V422" s="12"/>
    </row>
    <row r="423" customFormat="false" ht="15" hidden="false" customHeight="false" outlineLevel="0" collapsed="false">
      <c r="A423" s="12"/>
      <c r="B423" s="18"/>
      <c r="C423" s="12"/>
      <c r="D423" s="11" t="str">
        <f aca="false">IF(C423="","",IFERROR(INDEX(Unidades!$B$2:$B$218,MATCH(C423,Unidades!$A$2:$A$218,0)),"Código não encontrado"))</f>
        <v/>
      </c>
      <c r="E423" s="11" t="str">
        <f aca="false">IF(C423="","",IFERROR(INDEX(Unidades!$C$2:$C$218,MATCH(C423,Unidades!$A$2:$A$218,0)),""))</f>
        <v/>
      </c>
      <c r="F423" s="12"/>
      <c r="G423" s="12"/>
      <c r="H423" s="12"/>
      <c r="I423" s="12"/>
      <c r="J423" s="12"/>
      <c r="K423" s="19"/>
      <c r="L423" s="12"/>
      <c r="M423" s="11" t="str">
        <f aca="false">IF(L423="","",IFERROR(INDEX(Prioridade_SLA!$B$2:$B$5,MATCH(L423,Prioridade_SLA!$A$2:$A$5,0)),""))</f>
        <v/>
      </c>
      <c r="N423" s="16" t="str">
        <f aca="false">IF(OR(B423="",M423=""),"",B423+M423/24)</f>
        <v/>
      </c>
      <c r="O423" s="12"/>
      <c r="P423" s="12"/>
      <c r="Q423" s="18"/>
      <c r="R423" s="17" t="str">
        <f aca="false">IF(OR(B423="",Q423=""),"",(Q423-B423)*24)</f>
        <v/>
      </c>
      <c r="S423" s="11" t="str">
        <f aca="false">IF(OR(N423="",Q423=""),"",IF(Q423&lt;=N423,"Sim","Não"))</f>
        <v/>
      </c>
      <c r="T423" s="19"/>
      <c r="U423" s="12"/>
      <c r="V423" s="12"/>
    </row>
    <row r="424" customFormat="false" ht="15" hidden="false" customHeight="false" outlineLevel="0" collapsed="false">
      <c r="A424" s="12"/>
      <c r="B424" s="18"/>
      <c r="C424" s="12"/>
      <c r="D424" s="11" t="str">
        <f aca="false">IF(C424="","",IFERROR(INDEX(Unidades!$B$2:$B$218,MATCH(C424,Unidades!$A$2:$A$218,0)),"Código não encontrado"))</f>
        <v/>
      </c>
      <c r="E424" s="11" t="str">
        <f aca="false">IF(C424="","",IFERROR(INDEX(Unidades!$C$2:$C$218,MATCH(C424,Unidades!$A$2:$A$218,0)),""))</f>
        <v/>
      </c>
      <c r="F424" s="12"/>
      <c r="G424" s="12"/>
      <c r="H424" s="12"/>
      <c r="I424" s="12"/>
      <c r="J424" s="12"/>
      <c r="K424" s="19"/>
      <c r="L424" s="12"/>
      <c r="M424" s="11" t="str">
        <f aca="false">IF(L424="","",IFERROR(INDEX(Prioridade_SLA!$B$2:$B$5,MATCH(L424,Prioridade_SLA!$A$2:$A$5,0)),""))</f>
        <v/>
      </c>
      <c r="N424" s="16" t="str">
        <f aca="false">IF(OR(B424="",M424=""),"",B424+M424/24)</f>
        <v/>
      </c>
      <c r="O424" s="12"/>
      <c r="P424" s="12"/>
      <c r="Q424" s="18"/>
      <c r="R424" s="17" t="str">
        <f aca="false">IF(OR(B424="",Q424=""),"",(Q424-B424)*24)</f>
        <v/>
      </c>
      <c r="S424" s="11" t="str">
        <f aca="false">IF(OR(N424="",Q424=""),"",IF(Q424&lt;=N424,"Sim","Não"))</f>
        <v/>
      </c>
      <c r="T424" s="19"/>
      <c r="U424" s="12"/>
      <c r="V424" s="12"/>
    </row>
    <row r="425" customFormat="false" ht="15" hidden="false" customHeight="false" outlineLevel="0" collapsed="false">
      <c r="A425" s="12"/>
      <c r="B425" s="18"/>
      <c r="C425" s="12"/>
      <c r="D425" s="11" t="str">
        <f aca="false">IF(C425="","",IFERROR(INDEX(Unidades!$B$2:$B$218,MATCH(C425,Unidades!$A$2:$A$218,0)),"Código não encontrado"))</f>
        <v/>
      </c>
      <c r="E425" s="11" t="str">
        <f aca="false">IF(C425="","",IFERROR(INDEX(Unidades!$C$2:$C$218,MATCH(C425,Unidades!$A$2:$A$218,0)),""))</f>
        <v/>
      </c>
      <c r="F425" s="12"/>
      <c r="G425" s="12"/>
      <c r="H425" s="12"/>
      <c r="I425" s="12"/>
      <c r="J425" s="12"/>
      <c r="K425" s="19"/>
      <c r="L425" s="12"/>
      <c r="M425" s="11" t="str">
        <f aca="false">IF(L425="","",IFERROR(INDEX(Prioridade_SLA!$B$2:$B$5,MATCH(L425,Prioridade_SLA!$A$2:$A$5,0)),""))</f>
        <v/>
      </c>
      <c r="N425" s="16" t="str">
        <f aca="false">IF(OR(B425="",M425=""),"",B425+M425/24)</f>
        <v/>
      </c>
      <c r="O425" s="12"/>
      <c r="P425" s="12"/>
      <c r="Q425" s="18"/>
      <c r="R425" s="17" t="str">
        <f aca="false">IF(OR(B425="",Q425=""),"",(Q425-B425)*24)</f>
        <v/>
      </c>
      <c r="S425" s="11" t="str">
        <f aca="false">IF(OR(N425="",Q425=""),"",IF(Q425&lt;=N425,"Sim","Não"))</f>
        <v/>
      </c>
      <c r="T425" s="19"/>
      <c r="U425" s="12"/>
      <c r="V425" s="12"/>
    </row>
    <row r="426" customFormat="false" ht="15" hidden="false" customHeight="false" outlineLevel="0" collapsed="false">
      <c r="A426" s="12"/>
      <c r="B426" s="18"/>
      <c r="C426" s="12"/>
      <c r="D426" s="11" t="str">
        <f aca="false">IF(C426="","",IFERROR(INDEX(Unidades!$B$2:$B$218,MATCH(C426,Unidades!$A$2:$A$218,0)),"Código não encontrado"))</f>
        <v/>
      </c>
      <c r="E426" s="11" t="str">
        <f aca="false">IF(C426="","",IFERROR(INDEX(Unidades!$C$2:$C$218,MATCH(C426,Unidades!$A$2:$A$218,0)),""))</f>
        <v/>
      </c>
      <c r="F426" s="12"/>
      <c r="G426" s="12"/>
      <c r="H426" s="12"/>
      <c r="I426" s="12"/>
      <c r="J426" s="12"/>
      <c r="K426" s="19"/>
      <c r="L426" s="12"/>
      <c r="M426" s="11" t="str">
        <f aca="false">IF(L426="","",IFERROR(INDEX(Prioridade_SLA!$B$2:$B$5,MATCH(L426,Prioridade_SLA!$A$2:$A$5,0)),""))</f>
        <v/>
      </c>
      <c r="N426" s="16" t="str">
        <f aca="false">IF(OR(B426="",M426=""),"",B426+M426/24)</f>
        <v/>
      </c>
      <c r="O426" s="12"/>
      <c r="P426" s="12"/>
      <c r="Q426" s="18"/>
      <c r="R426" s="17" t="str">
        <f aca="false">IF(OR(B426="",Q426=""),"",(Q426-B426)*24)</f>
        <v/>
      </c>
      <c r="S426" s="11" t="str">
        <f aca="false">IF(OR(N426="",Q426=""),"",IF(Q426&lt;=N426,"Sim","Não"))</f>
        <v/>
      </c>
      <c r="T426" s="19"/>
      <c r="U426" s="12"/>
      <c r="V426" s="12"/>
    </row>
    <row r="427" customFormat="false" ht="15" hidden="false" customHeight="false" outlineLevel="0" collapsed="false">
      <c r="A427" s="12"/>
      <c r="B427" s="18"/>
      <c r="C427" s="12"/>
      <c r="D427" s="11" t="str">
        <f aca="false">IF(C427="","",IFERROR(INDEX(Unidades!$B$2:$B$218,MATCH(C427,Unidades!$A$2:$A$218,0)),"Código não encontrado"))</f>
        <v/>
      </c>
      <c r="E427" s="11" t="str">
        <f aca="false">IF(C427="","",IFERROR(INDEX(Unidades!$C$2:$C$218,MATCH(C427,Unidades!$A$2:$A$218,0)),""))</f>
        <v/>
      </c>
      <c r="F427" s="12"/>
      <c r="G427" s="12"/>
      <c r="H427" s="12"/>
      <c r="I427" s="12"/>
      <c r="J427" s="12"/>
      <c r="K427" s="19"/>
      <c r="L427" s="12"/>
      <c r="M427" s="11" t="str">
        <f aca="false">IF(L427="","",IFERROR(INDEX(Prioridade_SLA!$B$2:$B$5,MATCH(L427,Prioridade_SLA!$A$2:$A$5,0)),""))</f>
        <v/>
      </c>
      <c r="N427" s="16" t="str">
        <f aca="false">IF(OR(B427="",M427=""),"",B427+M427/24)</f>
        <v/>
      </c>
      <c r="O427" s="12"/>
      <c r="P427" s="12"/>
      <c r="Q427" s="18"/>
      <c r="R427" s="17" t="str">
        <f aca="false">IF(OR(B427="",Q427=""),"",(Q427-B427)*24)</f>
        <v/>
      </c>
      <c r="S427" s="11" t="str">
        <f aca="false">IF(OR(N427="",Q427=""),"",IF(Q427&lt;=N427,"Sim","Não"))</f>
        <v/>
      </c>
      <c r="T427" s="19"/>
      <c r="U427" s="12"/>
      <c r="V427" s="12"/>
    </row>
    <row r="428" customFormat="false" ht="15" hidden="false" customHeight="false" outlineLevel="0" collapsed="false">
      <c r="A428" s="12"/>
      <c r="B428" s="18"/>
      <c r="C428" s="12"/>
      <c r="D428" s="11" t="str">
        <f aca="false">IF(C428="","",IFERROR(INDEX(Unidades!$B$2:$B$218,MATCH(C428,Unidades!$A$2:$A$218,0)),"Código não encontrado"))</f>
        <v/>
      </c>
      <c r="E428" s="11" t="str">
        <f aca="false">IF(C428="","",IFERROR(INDEX(Unidades!$C$2:$C$218,MATCH(C428,Unidades!$A$2:$A$218,0)),""))</f>
        <v/>
      </c>
      <c r="F428" s="12"/>
      <c r="G428" s="12"/>
      <c r="H428" s="12"/>
      <c r="I428" s="12"/>
      <c r="J428" s="12"/>
      <c r="K428" s="19"/>
      <c r="L428" s="12"/>
      <c r="M428" s="11" t="str">
        <f aca="false">IF(L428="","",IFERROR(INDEX(Prioridade_SLA!$B$2:$B$5,MATCH(L428,Prioridade_SLA!$A$2:$A$5,0)),""))</f>
        <v/>
      </c>
      <c r="N428" s="16" t="str">
        <f aca="false">IF(OR(B428="",M428=""),"",B428+M428/24)</f>
        <v/>
      </c>
      <c r="O428" s="12"/>
      <c r="P428" s="12"/>
      <c r="Q428" s="18"/>
      <c r="R428" s="17" t="str">
        <f aca="false">IF(OR(B428="",Q428=""),"",(Q428-B428)*24)</f>
        <v/>
      </c>
      <c r="S428" s="11" t="str">
        <f aca="false">IF(OR(N428="",Q428=""),"",IF(Q428&lt;=N428,"Sim","Não"))</f>
        <v/>
      </c>
      <c r="T428" s="19"/>
      <c r="U428" s="12"/>
      <c r="V428" s="12"/>
    </row>
    <row r="429" customFormat="false" ht="15" hidden="false" customHeight="false" outlineLevel="0" collapsed="false">
      <c r="A429" s="12"/>
      <c r="B429" s="18"/>
      <c r="C429" s="12"/>
      <c r="D429" s="11" t="str">
        <f aca="false">IF(C429="","",IFERROR(INDEX(Unidades!$B$2:$B$218,MATCH(C429,Unidades!$A$2:$A$218,0)),"Código não encontrado"))</f>
        <v/>
      </c>
      <c r="E429" s="11" t="str">
        <f aca="false">IF(C429="","",IFERROR(INDEX(Unidades!$C$2:$C$218,MATCH(C429,Unidades!$A$2:$A$218,0)),""))</f>
        <v/>
      </c>
      <c r="F429" s="12"/>
      <c r="G429" s="12"/>
      <c r="H429" s="12"/>
      <c r="I429" s="12"/>
      <c r="J429" s="12"/>
      <c r="K429" s="19"/>
      <c r="L429" s="12"/>
      <c r="M429" s="11" t="str">
        <f aca="false">IF(L429="","",IFERROR(INDEX(Prioridade_SLA!$B$2:$B$5,MATCH(L429,Prioridade_SLA!$A$2:$A$5,0)),""))</f>
        <v/>
      </c>
      <c r="N429" s="16" t="str">
        <f aca="false">IF(OR(B429="",M429=""),"",B429+M429/24)</f>
        <v/>
      </c>
      <c r="O429" s="12"/>
      <c r="P429" s="12"/>
      <c r="Q429" s="18"/>
      <c r="R429" s="17" t="str">
        <f aca="false">IF(OR(B429="",Q429=""),"",(Q429-B429)*24)</f>
        <v/>
      </c>
      <c r="S429" s="11" t="str">
        <f aca="false">IF(OR(N429="",Q429=""),"",IF(Q429&lt;=N429,"Sim","Não"))</f>
        <v/>
      </c>
      <c r="T429" s="19"/>
      <c r="U429" s="12"/>
      <c r="V429" s="12"/>
    </row>
    <row r="430" customFormat="false" ht="15" hidden="false" customHeight="false" outlineLevel="0" collapsed="false">
      <c r="A430" s="12"/>
      <c r="B430" s="18"/>
      <c r="C430" s="12"/>
      <c r="D430" s="11" t="str">
        <f aca="false">IF(C430="","",IFERROR(INDEX(Unidades!$B$2:$B$218,MATCH(C430,Unidades!$A$2:$A$218,0)),"Código não encontrado"))</f>
        <v/>
      </c>
      <c r="E430" s="11" t="str">
        <f aca="false">IF(C430="","",IFERROR(INDEX(Unidades!$C$2:$C$218,MATCH(C430,Unidades!$A$2:$A$218,0)),""))</f>
        <v/>
      </c>
      <c r="F430" s="12"/>
      <c r="G430" s="12"/>
      <c r="H430" s="12"/>
      <c r="I430" s="12"/>
      <c r="J430" s="12"/>
      <c r="K430" s="19"/>
      <c r="L430" s="12"/>
      <c r="M430" s="11" t="str">
        <f aca="false">IF(L430="","",IFERROR(INDEX(Prioridade_SLA!$B$2:$B$5,MATCH(L430,Prioridade_SLA!$A$2:$A$5,0)),""))</f>
        <v/>
      </c>
      <c r="N430" s="16" t="str">
        <f aca="false">IF(OR(B430="",M430=""),"",B430+M430/24)</f>
        <v/>
      </c>
      <c r="O430" s="12"/>
      <c r="P430" s="12"/>
      <c r="Q430" s="18"/>
      <c r="R430" s="17" t="str">
        <f aca="false">IF(OR(B430="",Q430=""),"",(Q430-B430)*24)</f>
        <v/>
      </c>
      <c r="S430" s="11" t="str">
        <f aca="false">IF(OR(N430="",Q430=""),"",IF(Q430&lt;=N430,"Sim","Não"))</f>
        <v/>
      </c>
      <c r="T430" s="19"/>
      <c r="U430" s="12"/>
      <c r="V430" s="12"/>
    </row>
    <row r="431" customFormat="false" ht="15" hidden="false" customHeight="false" outlineLevel="0" collapsed="false">
      <c r="A431" s="12"/>
      <c r="B431" s="18"/>
      <c r="C431" s="12"/>
      <c r="D431" s="11" t="str">
        <f aca="false">IF(C431="","",IFERROR(INDEX(Unidades!$B$2:$B$218,MATCH(C431,Unidades!$A$2:$A$218,0)),"Código não encontrado"))</f>
        <v/>
      </c>
      <c r="E431" s="11" t="str">
        <f aca="false">IF(C431="","",IFERROR(INDEX(Unidades!$C$2:$C$218,MATCH(C431,Unidades!$A$2:$A$218,0)),""))</f>
        <v/>
      </c>
      <c r="F431" s="12"/>
      <c r="G431" s="12"/>
      <c r="H431" s="12"/>
      <c r="I431" s="12"/>
      <c r="J431" s="12"/>
      <c r="K431" s="19"/>
      <c r="L431" s="12"/>
      <c r="M431" s="11" t="str">
        <f aca="false">IF(L431="","",IFERROR(INDEX(Prioridade_SLA!$B$2:$B$5,MATCH(L431,Prioridade_SLA!$A$2:$A$5,0)),""))</f>
        <v/>
      </c>
      <c r="N431" s="16" t="str">
        <f aca="false">IF(OR(B431="",M431=""),"",B431+M431/24)</f>
        <v/>
      </c>
      <c r="O431" s="12"/>
      <c r="P431" s="12"/>
      <c r="Q431" s="18"/>
      <c r="R431" s="17" t="str">
        <f aca="false">IF(OR(B431="",Q431=""),"",(Q431-B431)*24)</f>
        <v/>
      </c>
      <c r="S431" s="11" t="str">
        <f aca="false">IF(OR(N431="",Q431=""),"",IF(Q431&lt;=N431,"Sim","Não"))</f>
        <v/>
      </c>
      <c r="T431" s="19"/>
      <c r="U431" s="12"/>
      <c r="V431" s="12"/>
    </row>
    <row r="432" customFormat="false" ht="15" hidden="false" customHeight="false" outlineLevel="0" collapsed="false">
      <c r="A432" s="12"/>
      <c r="B432" s="18"/>
      <c r="C432" s="12"/>
      <c r="D432" s="11" t="str">
        <f aca="false">IF(C432="","",IFERROR(INDEX(Unidades!$B$2:$B$218,MATCH(C432,Unidades!$A$2:$A$218,0)),"Código não encontrado"))</f>
        <v/>
      </c>
      <c r="E432" s="11" t="str">
        <f aca="false">IF(C432="","",IFERROR(INDEX(Unidades!$C$2:$C$218,MATCH(C432,Unidades!$A$2:$A$218,0)),""))</f>
        <v/>
      </c>
      <c r="F432" s="12"/>
      <c r="G432" s="12"/>
      <c r="H432" s="12"/>
      <c r="I432" s="12"/>
      <c r="J432" s="12"/>
      <c r="K432" s="19"/>
      <c r="L432" s="12"/>
      <c r="M432" s="11" t="str">
        <f aca="false">IF(L432="","",IFERROR(INDEX(Prioridade_SLA!$B$2:$B$5,MATCH(L432,Prioridade_SLA!$A$2:$A$5,0)),""))</f>
        <v/>
      </c>
      <c r="N432" s="16" t="str">
        <f aca="false">IF(OR(B432="",M432=""),"",B432+M432/24)</f>
        <v/>
      </c>
      <c r="O432" s="12"/>
      <c r="P432" s="12"/>
      <c r="Q432" s="18"/>
      <c r="R432" s="17" t="str">
        <f aca="false">IF(OR(B432="",Q432=""),"",(Q432-B432)*24)</f>
        <v/>
      </c>
      <c r="S432" s="11" t="str">
        <f aca="false">IF(OR(N432="",Q432=""),"",IF(Q432&lt;=N432,"Sim","Não"))</f>
        <v/>
      </c>
      <c r="T432" s="19"/>
      <c r="U432" s="12"/>
      <c r="V432" s="12"/>
    </row>
    <row r="433" customFormat="false" ht="15" hidden="false" customHeight="false" outlineLevel="0" collapsed="false">
      <c r="A433" s="12"/>
      <c r="B433" s="18"/>
      <c r="C433" s="12"/>
      <c r="D433" s="11" t="str">
        <f aca="false">IF(C433="","",IFERROR(INDEX(Unidades!$B$2:$B$218,MATCH(C433,Unidades!$A$2:$A$218,0)),"Código não encontrado"))</f>
        <v/>
      </c>
      <c r="E433" s="11" t="str">
        <f aca="false">IF(C433="","",IFERROR(INDEX(Unidades!$C$2:$C$218,MATCH(C433,Unidades!$A$2:$A$218,0)),""))</f>
        <v/>
      </c>
      <c r="F433" s="12"/>
      <c r="G433" s="12"/>
      <c r="H433" s="12"/>
      <c r="I433" s="12"/>
      <c r="J433" s="12"/>
      <c r="K433" s="19"/>
      <c r="L433" s="12"/>
      <c r="M433" s="11" t="str">
        <f aca="false">IF(L433="","",IFERROR(INDEX(Prioridade_SLA!$B$2:$B$5,MATCH(L433,Prioridade_SLA!$A$2:$A$5,0)),""))</f>
        <v/>
      </c>
      <c r="N433" s="16" t="str">
        <f aca="false">IF(OR(B433="",M433=""),"",B433+M433/24)</f>
        <v/>
      </c>
      <c r="O433" s="12"/>
      <c r="P433" s="12"/>
      <c r="Q433" s="18"/>
      <c r="R433" s="17" t="str">
        <f aca="false">IF(OR(B433="",Q433=""),"",(Q433-B433)*24)</f>
        <v/>
      </c>
      <c r="S433" s="11" t="str">
        <f aca="false">IF(OR(N433="",Q433=""),"",IF(Q433&lt;=N433,"Sim","Não"))</f>
        <v/>
      </c>
      <c r="T433" s="19"/>
      <c r="U433" s="12"/>
      <c r="V433" s="12"/>
    </row>
    <row r="434" customFormat="false" ht="15" hidden="false" customHeight="false" outlineLevel="0" collapsed="false">
      <c r="A434" s="12"/>
      <c r="B434" s="18"/>
      <c r="C434" s="12"/>
      <c r="D434" s="11" t="str">
        <f aca="false">IF(C434="","",IFERROR(INDEX(Unidades!$B$2:$B$218,MATCH(C434,Unidades!$A$2:$A$218,0)),"Código não encontrado"))</f>
        <v/>
      </c>
      <c r="E434" s="11" t="str">
        <f aca="false">IF(C434="","",IFERROR(INDEX(Unidades!$C$2:$C$218,MATCH(C434,Unidades!$A$2:$A$218,0)),""))</f>
        <v/>
      </c>
      <c r="F434" s="12"/>
      <c r="G434" s="12"/>
      <c r="H434" s="12"/>
      <c r="I434" s="12"/>
      <c r="J434" s="12"/>
      <c r="K434" s="19"/>
      <c r="L434" s="12"/>
      <c r="M434" s="11" t="str">
        <f aca="false">IF(L434="","",IFERROR(INDEX(Prioridade_SLA!$B$2:$B$5,MATCH(L434,Prioridade_SLA!$A$2:$A$5,0)),""))</f>
        <v/>
      </c>
      <c r="N434" s="16" t="str">
        <f aca="false">IF(OR(B434="",M434=""),"",B434+M434/24)</f>
        <v/>
      </c>
      <c r="O434" s="12"/>
      <c r="P434" s="12"/>
      <c r="Q434" s="18"/>
      <c r="R434" s="17" t="str">
        <f aca="false">IF(OR(B434="",Q434=""),"",(Q434-B434)*24)</f>
        <v/>
      </c>
      <c r="S434" s="11" t="str">
        <f aca="false">IF(OR(N434="",Q434=""),"",IF(Q434&lt;=N434,"Sim","Não"))</f>
        <v/>
      </c>
      <c r="T434" s="19"/>
      <c r="U434" s="12"/>
      <c r="V434" s="12"/>
    </row>
    <row r="435" customFormat="false" ht="15" hidden="false" customHeight="false" outlineLevel="0" collapsed="false">
      <c r="A435" s="12"/>
      <c r="B435" s="18"/>
      <c r="C435" s="12"/>
      <c r="D435" s="11" t="str">
        <f aca="false">IF(C435="","",IFERROR(INDEX(Unidades!$B$2:$B$218,MATCH(C435,Unidades!$A$2:$A$218,0)),"Código não encontrado"))</f>
        <v/>
      </c>
      <c r="E435" s="11" t="str">
        <f aca="false">IF(C435="","",IFERROR(INDEX(Unidades!$C$2:$C$218,MATCH(C435,Unidades!$A$2:$A$218,0)),""))</f>
        <v/>
      </c>
      <c r="F435" s="12"/>
      <c r="G435" s="12"/>
      <c r="H435" s="12"/>
      <c r="I435" s="12"/>
      <c r="J435" s="12"/>
      <c r="K435" s="19"/>
      <c r="L435" s="12"/>
      <c r="M435" s="11" t="str">
        <f aca="false">IF(L435="","",IFERROR(INDEX(Prioridade_SLA!$B$2:$B$5,MATCH(L435,Prioridade_SLA!$A$2:$A$5,0)),""))</f>
        <v/>
      </c>
      <c r="N435" s="16" t="str">
        <f aca="false">IF(OR(B435="",M435=""),"",B435+M435/24)</f>
        <v/>
      </c>
      <c r="O435" s="12"/>
      <c r="P435" s="12"/>
      <c r="Q435" s="18"/>
      <c r="R435" s="17" t="str">
        <f aca="false">IF(OR(B435="",Q435=""),"",(Q435-B435)*24)</f>
        <v/>
      </c>
      <c r="S435" s="11" t="str">
        <f aca="false">IF(OR(N435="",Q435=""),"",IF(Q435&lt;=N435,"Sim","Não"))</f>
        <v/>
      </c>
      <c r="T435" s="19"/>
      <c r="U435" s="12"/>
      <c r="V435" s="12"/>
    </row>
    <row r="436" customFormat="false" ht="15" hidden="false" customHeight="false" outlineLevel="0" collapsed="false">
      <c r="A436" s="12"/>
      <c r="B436" s="18"/>
      <c r="C436" s="12"/>
      <c r="D436" s="11" t="str">
        <f aca="false">IF(C436="","",IFERROR(INDEX(Unidades!$B$2:$B$218,MATCH(C436,Unidades!$A$2:$A$218,0)),"Código não encontrado"))</f>
        <v/>
      </c>
      <c r="E436" s="11" t="str">
        <f aca="false">IF(C436="","",IFERROR(INDEX(Unidades!$C$2:$C$218,MATCH(C436,Unidades!$A$2:$A$218,0)),""))</f>
        <v/>
      </c>
      <c r="F436" s="12"/>
      <c r="G436" s="12"/>
      <c r="H436" s="12"/>
      <c r="I436" s="12"/>
      <c r="J436" s="12"/>
      <c r="K436" s="19"/>
      <c r="L436" s="12"/>
      <c r="M436" s="11" t="str">
        <f aca="false">IF(L436="","",IFERROR(INDEX(Prioridade_SLA!$B$2:$B$5,MATCH(L436,Prioridade_SLA!$A$2:$A$5,0)),""))</f>
        <v/>
      </c>
      <c r="N436" s="16" t="str">
        <f aca="false">IF(OR(B436="",M436=""),"",B436+M436/24)</f>
        <v/>
      </c>
      <c r="O436" s="12"/>
      <c r="P436" s="12"/>
      <c r="Q436" s="18"/>
      <c r="R436" s="17" t="str">
        <f aca="false">IF(OR(B436="",Q436=""),"",(Q436-B436)*24)</f>
        <v/>
      </c>
      <c r="S436" s="11" t="str">
        <f aca="false">IF(OR(N436="",Q436=""),"",IF(Q436&lt;=N436,"Sim","Não"))</f>
        <v/>
      </c>
      <c r="T436" s="19"/>
      <c r="U436" s="12"/>
      <c r="V436" s="12"/>
    </row>
    <row r="437" customFormat="false" ht="15" hidden="false" customHeight="false" outlineLevel="0" collapsed="false">
      <c r="A437" s="12"/>
      <c r="B437" s="18"/>
      <c r="C437" s="12"/>
      <c r="D437" s="11" t="str">
        <f aca="false">IF(C437="","",IFERROR(INDEX(Unidades!$B$2:$B$218,MATCH(C437,Unidades!$A$2:$A$218,0)),"Código não encontrado"))</f>
        <v/>
      </c>
      <c r="E437" s="11" t="str">
        <f aca="false">IF(C437="","",IFERROR(INDEX(Unidades!$C$2:$C$218,MATCH(C437,Unidades!$A$2:$A$218,0)),""))</f>
        <v/>
      </c>
      <c r="F437" s="12"/>
      <c r="G437" s="12"/>
      <c r="H437" s="12"/>
      <c r="I437" s="12"/>
      <c r="J437" s="12"/>
      <c r="K437" s="19"/>
      <c r="L437" s="12"/>
      <c r="M437" s="11" t="str">
        <f aca="false">IF(L437="","",IFERROR(INDEX(Prioridade_SLA!$B$2:$B$5,MATCH(L437,Prioridade_SLA!$A$2:$A$5,0)),""))</f>
        <v/>
      </c>
      <c r="N437" s="16" t="str">
        <f aca="false">IF(OR(B437="",M437=""),"",B437+M437/24)</f>
        <v/>
      </c>
      <c r="O437" s="12"/>
      <c r="P437" s="12"/>
      <c r="Q437" s="18"/>
      <c r="R437" s="17" t="str">
        <f aca="false">IF(OR(B437="",Q437=""),"",(Q437-B437)*24)</f>
        <v/>
      </c>
      <c r="S437" s="11" t="str">
        <f aca="false">IF(OR(N437="",Q437=""),"",IF(Q437&lt;=N437,"Sim","Não"))</f>
        <v/>
      </c>
      <c r="T437" s="19"/>
      <c r="U437" s="12"/>
      <c r="V437" s="12"/>
    </row>
    <row r="438" customFormat="false" ht="15" hidden="false" customHeight="false" outlineLevel="0" collapsed="false">
      <c r="A438" s="12"/>
      <c r="B438" s="18"/>
      <c r="C438" s="12"/>
      <c r="D438" s="11" t="str">
        <f aca="false">IF(C438="","",IFERROR(INDEX(Unidades!$B$2:$B$218,MATCH(C438,Unidades!$A$2:$A$218,0)),"Código não encontrado"))</f>
        <v/>
      </c>
      <c r="E438" s="11" t="str">
        <f aca="false">IF(C438="","",IFERROR(INDEX(Unidades!$C$2:$C$218,MATCH(C438,Unidades!$A$2:$A$218,0)),""))</f>
        <v/>
      </c>
      <c r="F438" s="12"/>
      <c r="G438" s="12"/>
      <c r="H438" s="12"/>
      <c r="I438" s="12"/>
      <c r="J438" s="12"/>
      <c r="K438" s="19"/>
      <c r="L438" s="12"/>
      <c r="M438" s="11" t="str">
        <f aca="false">IF(L438="","",IFERROR(INDEX(Prioridade_SLA!$B$2:$B$5,MATCH(L438,Prioridade_SLA!$A$2:$A$5,0)),""))</f>
        <v/>
      </c>
      <c r="N438" s="16" t="str">
        <f aca="false">IF(OR(B438="",M438=""),"",B438+M438/24)</f>
        <v/>
      </c>
      <c r="O438" s="12"/>
      <c r="P438" s="12"/>
      <c r="Q438" s="18"/>
      <c r="R438" s="17" t="str">
        <f aca="false">IF(OR(B438="",Q438=""),"",(Q438-B438)*24)</f>
        <v/>
      </c>
      <c r="S438" s="11" t="str">
        <f aca="false">IF(OR(N438="",Q438=""),"",IF(Q438&lt;=N438,"Sim","Não"))</f>
        <v/>
      </c>
      <c r="T438" s="19"/>
      <c r="U438" s="12"/>
      <c r="V438" s="12"/>
    </row>
    <row r="439" customFormat="false" ht="15" hidden="false" customHeight="false" outlineLevel="0" collapsed="false">
      <c r="A439" s="12"/>
      <c r="B439" s="18"/>
      <c r="C439" s="12"/>
      <c r="D439" s="11" t="str">
        <f aca="false">IF(C439="","",IFERROR(INDEX(Unidades!$B$2:$B$218,MATCH(C439,Unidades!$A$2:$A$218,0)),"Código não encontrado"))</f>
        <v/>
      </c>
      <c r="E439" s="11" t="str">
        <f aca="false">IF(C439="","",IFERROR(INDEX(Unidades!$C$2:$C$218,MATCH(C439,Unidades!$A$2:$A$218,0)),""))</f>
        <v/>
      </c>
      <c r="F439" s="12"/>
      <c r="G439" s="12"/>
      <c r="H439" s="12"/>
      <c r="I439" s="12"/>
      <c r="J439" s="12"/>
      <c r="K439" s="19"/>
      <c r="L439" s="12"/>
      <c r="M439" s="11" t="str">
        <f aca="false">IF(L439="","",IFERROR(INDEX(Prioridade_SLA!$B$2:$B$5,MATCH(L439,Prioridade_SLA!$A$2:$A$5,0)),""))</f>
        <v/>
      </c>
      <c r="N439" s="16" t="str">
        <f aca="false">IF(OR(B439="",M439=""),"",B439+M439/24)</f>
        <v/>
      </c>
      <c r="O439" s="12"/>
      <c r="P439" s="12"/>
      <c r="Q439" s="18"/>
      <c r="R439" s="17" t="str">
        <f aca="false">IF(OR(B439="",Q439=""),"",(Q439-B439)*24)</f>
        <v/>
      </c>
      <c r="S439" s="11" t="str">
        <f aca="false">IF(OR(N439="",Q439=""),"",IF(Q439&lt;=N439,"Sim","Não"))</f>
        <v/>
      </c>
      <c r="T439" s="19"/>
      <c r="U439" s="12"/>
      <c r="V439" s="12"/>
    </row>
    <row r="440" customFormat="false" ht="15" hidden="false" customHeight="false" outlineLevel="0" collapsed="false">
      <c r="A440" s="12"/>
      <c r="B440" s="18"/>
      <c r="C440" s="12"/>
      <c r="D440" s="11" t="str">
        <f aca="false">IF(C440="","",IFERROR(INDEX(Unidades!$B$2:$B$218,MATCH(C440,Unidades!$A$2:$A$218,0)),"Código não encontrado"))</f>
        <v/>
      </c>
      <c r="E440" s="11" t="str">
        <f aca="false">IF(C440="","",IFERROR(INDEX(Unidades!$C$2:$C$218,MATCH(C440,Unidades!$A$2:$A$218,0)),""))</f>
        <v/>
      </c>
      <c r="F440" s="12"/>
      <c r="G440" s="12"/>
      <c r="H440" s="12"/>
      <c r="I440" s="12"/>
      <c r="J440" s="12"/>
      <c r="K440" s="19"/>
      <c r="L440" s="12"/>
      <c r="M440" s="11" t="str">
        <f aca="false">IF(L440="","",IFERROR(INDEX(Prioridade_SLA!$B$2:$B$5,MATCH(L440,Prioridade_SLA!$A$2:$A$5,0)),""))</f>
        <v/>
      </c>
      <c r="N440" s="16" t="str">
        <f aca="false">IF(OR(B440="",M440=""),"",B440+M440/24)</f>
        <v/>
      </c>
      <c r="O440" s="12"/>
      <c r="P440" s="12"/>
      <c r="Q440" s="18"/>
      <c r="R440" s="17" t="str">
        <f aca="false">IF(OR(B440="",Q440=""),"",(Q440-B440)*24)</f>
        <v/>
      </c>
      <c r="S440" s="11" t="str">
        <f aca="false">IF(OR(N440="",Q440=""),"",IF(Q440&lt;=N440,"Sim","Não"))</f>
        <v/>
      </c>
      <c r="T440" s="19"/>
      <c r="U440" s="12"/>
      <c r="V440" s="12"/>
    </row>
    <row r="441" customFormat="false" ht="15" hidden="false" customHeight="false" outlineLevel="0" collapsed="false">
      <c r="A441" s="12"/>
      <c r="B441" s="18"/>
      <c r="C441" s="12"/>
      <c r="D441" s="11" t="str">
        <f aca="false">IF(C441="","",IFERROR(INDEX(Unidades!$B$2:$B$218,MATCH(C441,Unidades!$A$2:$A$218,0)),"Código não encontrado"))</f>
        <v/>
      </c>
      <c r="E441" s="11" t="str">
        <f aca="false">IF(C441="","",IFERROR(INDEX(Unidades!$C$2:$C$218,MATCH(C441,Unidades!$A$2:$A$218,0)),""))</f>
        <v/>
      </c>
      <c r="F441" s="12"/>
      <c r="G441" s="12"/>
      <c r="H441" s="12"/>
      <c r="I441" s="12"/>
      <c r="J441" s="12"/>
      <c r="K441" s="19"/>
      <c r="L441" s="12"/>
      <c r="M441" s="11" t="str">
        <f aca="false">IF(L441="","",IFERROR(INDEX(Prioridade_SLA!$B$2:$B$5,MATCH(L441,Prioridade_SLA!$A$2:$A$5,0)),""))</f>
        <v/>
      </c>
      <c r="N441" s="16" t="str">
        <f aca="false">IF(OR(B441="",M441=""),"",B441+M441/24)</f>
        <v/>
      </c>
      <c r="O441" s="12"/>
      <c r="P441" s="12"/>
      <c r="Q441" s="18"/>
      <c r="R441" s="17" t="str">
        <f aca="false">IF(OR(B441="",Q441=""),"",(Q441-B441)*24)</f>
        <v/>
      </c>
      <c r="S441" s="11" t="str">
        <f aca="false">IF(OR(N441="",Q441=""),"",IF(Q441&lt;=N441,"Sim","Não"))</f>
        <v/>
      </c>
      <c r="T441" s="19"/>
      <c r="U441" s="12"/>
      <c r="V441" s="12"/>
    </row>
    <row r="442" customFormat="false" ht="15" hidden="false" customHeight="false" outlineLevel="0" collapsed="false">
      <c r="A442" s="12"/>
      <c r="B442" s="18"/>
      <c r="C442" s="12"/>
      <c r="D442" s="11" t="str">
        <f aca="false">IF(C442="","",IFERROR(INDEX(Unidades!$B$2:$B$218,MATCH(C442,Unidades!$A$2:$A$218,0)),"Código não encontrado"))</f>
        <v/>
      </c>
      <c r="E442" s="11" t="str">
        <f aca="false">IF(C442="","",IFERROR(INDEX(Unidades!$C$2:$C$218,MATCH(C442,Unidades!$A$2:$A$218,0)),""))</f>
        <v/>
      </c>
      <c r="F442" s="12"/>
      <c r="G442" s="12"/>
      <c r="H442" s="12"/>
      <c r="I442" s="12"/>
      <c r="J442" s="12"/>
      <c r="K442" s="19"/>
      <c r="L442" s="12"/>
      <c r="M442" s="11" t="str">
        <f aca="false">IF(L442="","",IFERROR(INDEX(Prioridade_SLA!$B$2:$B$5,MATCH(L442,Prioridade_SLA!$A$2:$A$5,0)),""))</f>
        <v/>
      </c>
      <c r="N442" s="16" t="str">
        <f aca="false">IF(OR(B442="",M442=""),"",B442+M442/24)</f>
        <v/>
      </c>
      <c r="O442" s="12"/>
      <c r="P442" s="12"/>
      <c r="Q442" s="18"/>
      <c r="R442" s="17" t="str">
        <f aca="false">IF(OR(B442="",Q442=""),"",(Q442-B442)*24)</f>
        <v/>
      </c>
      <c r="S442" s="11" t="str">
        <f aca="false">IF(OR(N442="",Q442=""),"",IF(Q442&lt;=N442,"Sim","Não"))</f>
        <v/>
      </c>
      <c r="T442" s="19"/>
      <c r="U442" s="12"/>
      <c r="V442" s="12"/>
    </row>
    <row r="443" customFormat="false" ht="15" hidden="false" customHeight="false" outlineLevel="0" collapsed="false">
      <c r="A443" s="12"/>
      <c r="B443" s="18"/>
      <c r="C443" s="12"/>
      <c r="D443" s="11" t="str">
        <f aca="false">IF(C443="","",IFERROR(INDEX(Unidades!$B$2:$B$218,MATCH(C443,Unidades!$A$2:$A$218,0)),"Código não encontrado"))</f>
        <v/>
      </c>
      <c r="E443" s="11" t="str">
        <f aca="false">IF(C443="","",IFERROR(INDEX(Unidades!$C$2:$C$218,MATCH(C443,Unidades!$A$2:$A$218,0)),""))</f>
        <v/>
      </c>
      <c r="F443" s="12"/>
      <c r="G443" s="12"/>
      <c r="H443" s="12"/>
      <c r="I443" s="12"/>
      <c r="J443" s="12"/>
      <c r="K443" s="19"/>
      <c r="L443" s="12"/>
      <c r="M443" s="11" t="str">
        <f aca="false">IF(L443="","",IFERROR(INDEX(Prioridade_SLA!$B$2:$B$5,MATCH(L443,Prioridade_SLA!$A$2:$A$5,0)),""))</f>
        <v/>
      </c>
      <c r="N443" s="16" t="str">
        <f aca="false">IF(OR(B443="",M443=""),"",B443+M443/24)</f>
        <v/>
      </c>
      <c r="O443" s="12"/>
      <c r="P443" s="12"/>
      <c r="Q443" s="18"/>
      <c r="R443" s="17" t="str">
        <f aca="false">IF(OR(B443="",Q443=""),"",(Q443-B443)*24)</f>
        <v/>
      </c>
      <c r="S443" s="11" t="str">
        <f aca="false">IF(OR(N443="",Q443=""),"",IF(Q443&lt;=N443,"Sim","Não"))</f>
        <v/>
      </c>
      <c r="T443" s="19"/>
      <c r="U443" s="12"/>
      <c r="V443" s="12"/>
    </row>
    <row r="444" customFormat="false" ht="15" hidden="false" customHeight="false" outlineLevel="0" collapsed="false">
      <c r="A444" s="12"/>
      <c r="B444" s="18"/>
      <c r="C444" s="12"/>
      <c r="D444" s="11" t="str">
        <f aca="false">IF(C444="","",IFERROR(INDEX(Unidades!$B$2:$B$218,MATCH(C444,Unidades!$A$2:$A$218,0)),"Código não encontrado"))</f>
        <v/>
      </c>
      <c r="E444" s="11" t="str">
        <f aca="false">IF(C444="","",IFERROR(INDEX(Unidades!$C$2:$C$218,MATCH(C444,Unidades!$A$2:$A$218,0)),""))</f>
        <v/>
      </c>
      <c r="F444" s="12"/>
      <c r="G444" s="12"/>
      <c r="H444" s="12"/>
      <c r="I444" s="12"/>
      <c r="J444" s="12"/>
      <c r="K444" s="19"/>
      <c r="L444" s="12"/>
      <c r="M444" s="11" t="str">
        <f aca="false">IF(L444="","",IFERROR(INDEX(Prioridade_SLA!$B$2:$B$5,MATCH(L444,Prioridade_SLA!$A$2:$A$5,0)),""))</f>
        <v/>
      </c>
      <c r="N444" s="16" t="str">
        <f aca="false">IF(OR(B444="",M444=""),"",B444+M444/24)</f>
        <v/>
      </c>
      <c r="O444" s="12"/>
      <c r="P444" s="12"/>
      <c r="Q444" s="18"/>
      <c r="R444" s="17" t="str">
        <f aca="false">IF(OR(B444="",Q444=""),"",(Q444-B444)*24)</f>
        <v/>
      </c>
      <c r="S444" s="11" t="str">
        <f aca="false">IF(OR(N444="",Q444=""),"",IF(Q444&lt;=N444,"Sim","Não"))</f>
        <v/>
      </c>
      <c r="T444" s="19"/>
      <c r="U444" s="12"/>
      <c r="V444" s="12"/>
    </row>
    <row r="445" customFormat="false" ht="15" hidden="false" customHeight="false" outlineLevel="0" collapsed="false">
      <c r="A445" s="12"/>
      <c r="B445" s="18"/>
      <c r="C445" s="12"/>
      <c r="D445" s="11" t="str">
        <f aca="false">IF(C445="","",IFERROR(INDEX(Unidades!$B$2:$B$218,MATCH(C445,Unidades!$A$2:$A$218,0)),"Código não encontrado"))</f>
        <v/>
      </c>
      <c r="E445" s="11" t="str">
        <f aca="false">IF(C445="","",IFERROR(INDEX(Unidades!$C$2:$C$218,MATCH(C445,Unidades!$A$2:$A$218,0)),""))</f>
        <v/>
      </c>
      <c r="F445" s="12"/>
      <c r="G445" s="12"/>
      <c r="H445" s="12"/>
      <c r="I445" s="12"/>
      <c r="J445" s="12"/>
      <c r="K445" s="19"/>
      <c r="L445" s="12"/>
      <c r="M445" s="11" t="str">
        <f aca="false">IF(L445="","",IFERROR(INDEX(Prioridade_SLA!$B$2:$B$5,MATCH(L445,Prioridade_SLA!$A$2:$A$5,0)),""))</f>
        <v/>
      </c>
      <c r="N445" s="16" t="str">
        <f aca="false">IF(OR(B445="",M445=""),"",B445+M445/24)</f>
        <v/>
      </c>
      <c r="O445" s="12"/>
      <c r="P445" s="12"/>
      <c r="Q445" s="18"/>
      <c r="R445" s="17" t="str">
        <f aca="false">IF(OR(B445="",Q445=""),"",(Q445-B445)*24)</f>
        <v/>
      </c>
      <c r="S445" s="11" t="str">
        <f aca="false">IF(OR(N445="",Q445=""),"",IF(Q445&lt;=N445,"Sim","Não"))</f>
        <v/>
      </c>
      <c r="T445" s="19"/>
      <c r="U445" s="12"/>
      <c r="V445" s="12"/>
    </row>
    <row r="446" customFormat="false" ht="15" hidden="false" customHeight="false" outlineLevel="0" collapsed="false">
      <c r="A446" s="12"/>
      <c r="B446" s="18"/>
      <c r="C446" s="12"/>
      <c r="D446" s="11" t="str">
        <f aca="false">IF(C446="","",IFERROR(INDEX(Unidades!$B$2:$B$218,MATCH(C446,Unidades!$A$2:$A$218,0)),"Código não encontrado"))</f>
        <v/>
      </c>
      <c r="E446" s="11" t="str">
        <f aca="false">IF(C446="","",IFERROR(INDEX(Unidades!$C$2:$C$218,MATCH(C446,Unidades!$A$2:$A$218,0)),""))</f>
        <v/>
      </c>
      <c r="F446" s="12"/>
      <c r="G446" s="12"/>
      <c r="H446" s="12"/>
      <c r="I446" s="12"/>
      <c r="J446" s="12"/>
      <c r="K446" s="19"/>
      <c r="L446" s="12"/>
      <c r="M446" s="11" t="str">
        <f aca="false">IF(L446="","",IFERROR(INDEX(Prioridade_SLA!$B$2:$B$5,MATCH(L446,Prioridade_SLA!$A$2:$A$5,0)),""))</f>
        <v/>
      </c>
      <c r="N446" s="16" t="str">
        <f aca="false">IF(OR(B446="",M446=""),"",B446+M446/24)</f>
        <v/>
      </c>
      <c r="O446" s="12"/>
      <c r="P446" s="12"/>
      <c r="Q446" s="18"/>
      <c r="R446" s="17" t="str">
        <f aca="false">IF(OR(B446="",Q446=""),"",(Q446-B446)*24)</f>
        <v/>
      </c>
      <c r="S446" s="11" t="str">
        <f aca="false">IF(OR(N446="",Q446=""),"",IF(Q446&lt;=N446,"Sim","Não"))</f>
        <v/>
      </c>
      <c r="T446" s="19"/>
      <c r="U446" s="12"/>
      <c r="V446" s="12"/>
    </row>
    <row r="447" customFormat="false" ht="15" hidden="false" customHeight="false" outlineLevel="0" collapsed="false">
      <c r="A447" s="12"/>
      <c r="B447" s="18"/>
      <c r="C447" s="12"/>
      <c r="D447" s="11" t="str">
        <f aca="false">IF(C447="","",IFERROR(INDEX(Unidades!$B$2:$B$218,MATCH(C447,Unidades!$A$2:$A$218,0)),"Código não encontrado"))</f>
        <v/>
      </c>
      <c r="E447" s="11" t="str">
        <f aca="false">IF(C447="","",IFERROR(INDEX(Unidades!$C$2:$C$218,MATCH(C447,Unidades!$A$2:$A$218,0)),""))</f>
        <v/>
      </c>
      <c r="F447" s="12"/>
      <c r="G447" s="12"/>
      <c r="H447" s="12"/>
      <c r="I447" s="12"/>
      <c r="J447" s="12"/>
      <c r="K447" s="19"/>
      <c r="L447" s="12"/>
      <c r="M447" s="11" t="str">
        <f aca="false">IF(L447="","",IFERROR(INDEX(Prioridade_SLA!$B$2:$B$5,MATCH(L447,Prioridade_SLA!$A$2:$A$5,0)),""))</f>
        <v/>
      </c>
      <c r="N447" s="16" t="str">
        <f aca="false">IF(OR(B447="",M447=""),"",B447+M447/24)</f>
        <v/>
      </c>
      <c r="O447" s="12"/>
      <c r="P447" s="12"/>
      <c r="Q447" s="18"/>
      <c r="R447" s="17" t="str">
        <f aca="false">IF(OR(B447="",Q447=""),"",(Q447-B447)*24)</f>
        <v/>
      </c>
      <c r="S447" s="11" t="str">
        <f aca="false">IF(OR(N447="",Q447=""),"",IF(Q447&lt;=N447,"Sim","Não"))</f>
        <v/>
      </c>
      <c r="T447" s="19"/>
      <c r="U447" s="12"/>
      <c r="V447" s="12"/>
    </row>
    <row r="448" customFormat="false" ht="15" hidden="false" customHeight="false" outlineLevel="0" collapsed="false">
      <c r="A448" s="12"/>
      <c r="B448" s="18"/>
      <c r="C448" s="12"/>
      <c r="D448" s="11" t="str">
        <f aca="false">IF(C448="","",IFERROR(INDEX(Unidades!$B$2:$B$218,MATCH(C448,Unidades!$A$2:$A$218,0)),"Código não encontrado"))</f>
        <v/>
      </c>
      <c r="E448" s="11" t="str">
        <f aca="false">IF(C448="","",IFERROR(INDEX(Unidades!$C$2:$C$218,MATCH(C448,Unidades!$A$2:$A$218,0)),""))</f>
        <v/>
      </c>
      <c r="F448" s="12"/>
      <c r="G448" s="12"/>
      <c r="H448" s="12"/>
      <c r="I448" s="12"/>
      <c r="J448" s="12"/>
      <c r="K448" s="19"/>
      <c r="L448" s="12"/>
      <c r="M448" s="11" t="str">
        <f aca="false">IF(L448="","",IFERROR(INDEX(Prioridade_SLA!$B$2:$B$5,MATCH(L448,Prioridade_SLA!$A$2:$A$5,0)),""))</f>
        <v/>
      </c>
      <c r="N448" s="16" t="str">
        <f aca="false">IF(OR(B448="",M448=""),"",B448+M448/24)</f>
        <v/>
      </c>
      <c r="O448" s="12"/>
      <c r="P448" s="12"/>
      <c r="Q448" s="18"/>
      <c r="R448" s="17" t="str">
        <f aca="false">IF(OR(B448="",Q448=""),"",(Q448-B448)*24)</f>
        <v/>
      </c>
      <c r="S448" s="11" t="str">
        <f aca="false">IF(OR(N448="",Q448=""),"",IF(Q448&lt;=N448,"Sim","Não"))</f>
        <v/>
      </c>
      <c r="T448" s="19"/>
      <c r="U448" s="12"/>
      <c r="V448" s="12"/>
    </row>
    <row r="449" customFormat="false" ht="15" hidden="false" customHeight="false" outlineLevel="0" collapsed="false">
      <c r="A449" s="12"/>
      <c r="B449" s="18"/>
      <c r="C449" s="12"/>
      <c r="D449" s="11" t="str">
        <f aca="false">IF(C449="","",IFERROR(INDEX(Unidades!$B$2:$B$218,MATCH(C449,Unidades!$A$2:$A$218,0)),"Código não encontrado"))</f>
        <v/>
      </c>
      <c r="E449" s="11" t="str">
        <f aca="false">IF(C449="","",IFERROR(INDEX(Unidades!$C$2:$C$218,MATCH(C449,Unidades!$A$2:$A$218,0)),""))</f>
        <v/>
      </c>
      <c r="F449" s="12"/>
      <c r="G449" s="12"/>
      <c r="H449" s="12"/>
      <c r="I449" s="12"/>
      <c r="J449" s="12"/>
      <c r="K449" s="19"/>
      <c r="L449" s="12"/>
      <c r="M449" s="11" t="str">
        <f aca="false">IF(L449="","",IFERROR(INDEX(Prioridade_SLA!$B$2:$B$5,MATCH(L449,Prioridade_SLA!$A$2:$A$5,0)),""))</f>
        <v/>
      </c>
      <c r="N449" s="16" t="str">
        <f aca="false">IF(OR(B449="",M449=""),"",B449+M449/24)</f>
        <v/>
      </c>
      <c r="O449" s="12"/>
      <c r="P449" s="12"/>
      <c r="Q449" s="18"/>
      <c r="R449" s="17" t="str">
        <f aca="false">IF(OR(B449="",Q449=""),"",(Q449-B449)*24)</f>
        <v/>
      </c>
      <c r="S449" s="11" t="str">
        <f aca="false">IF(OR(N449="",Q449=""),"",IF(Q449&lt;=N449,"Sim","Não"))</f>
        <v/>
      </c>
      <c r="T449" s="19"/>
      <c r="U449" s="12"/>
      <c r="V449" s="12"/>
    </row>
    <row r="450" customFormat="false" ht="15" hidden="false" customHeight="false" outlineLevel="0" collapsed="false">
      <c r="A450" s="12"/>
      <c r="B450" s="18"/>
      <c r="C450" s="12"/>
      <c r="D450" s="11" t="str">
        <f aca="false">IF(C450="","",IFERROR(INDEX(Unidades!$B$2:$B$218,MATCH(C450,Unidades!$A$2:$A$218,0)),"Código não encontrado"))</f>
        <v/>
      </c>
      <c r="E450" s="11" t="str">
        <f aca="false">IF(C450="","",IFERROR(INDEX(Unidades!$C$2:$C$218,MATCH(C450,Unidades!$A$2:$A$218,0)),""))</f>
        <v/>
      </c>
      <c r="F450" s="12"/>
      <c r="G450" s="12"/>
      <c r="H450" s="12"/>
      <c r="I450" s="12"/>
      <c r="J450" s="12"/>
      <c r="K450" s="19"/>
      <c r="L450" s="12"/>
      <c r="M450" s="11" t="str">
        <f aca="false">IF(L450="","",IFERROR(INDEX(Prioridade_SLA!$B$2:$B$5,MATCH(L450,Prioridade_SLA!$A$2:$A$5,0)),""))</f>
        <v/>
      </c>
      <c r="N450" s="16" t="str">
        <f aca="false">IF(OR(B450="",M450=""),"",B450+M450/24)</f>
        <v/>
      </c>
      <c r="O450" s="12"/>
      <c r="P450" s="12"/>
      <c r="Q450" s="18"/>
      <c r="R450" s="17" t="str">
        <f aca="false">IF(OR(B450="",Q450=""),"",(Q450-B450)*24)</f>
        <v/>
      </c>
      <c r="S450" s="11" t="str">
        <f aca="false">IF(OR(N450="",Q450=""),"",IF(Q450&lt;=N450,"Sim","Não"))</f>
        <v/>
      </c>
      <c r="T450" s="19"/>
      <c r="U450" s="12"/>
      <c r="V450" s="12"/>
    </row>
    <row r="451" customFormat="false" ht="15" hidden="false" customHeight="false" outlineLevel="0" collapsed="false">
      <c r="A451" s="12"/>
      <c r="B451" s="18"/>
      <c r="C451" s="12"/>
      <c r="D451" s="11" t="str">
        <f aca="false">IF(C451="","",IFERROR(INDEX(Unidades!$B$2:$B$218,MATCH(C451,Unidades!$A$2:$A$218,0)),"Código não encontrado"))</f>
        <v/>
      </c>
      <c r="E451" s="11" t="str">
        <f aca="false">IF(C451="","",IFERROR(INDEX(Unidades!$C$2:$C$218,MATCH(C451,Unidades!$A$2:$A$218,0)),""))</f>
        <v/>
      </c>
      <c r="F451" s="12"/>
      <c r="G451" s="12"/>
      <c r="H451" s="12"/>
      <c r="I451" s="12"/>
      <c r="J451" s="12"/>
      <c r="K451" s="19"/>
      <c r="L451" s="12"/>
      <c r="M451" s="11" t="str">
        <f aca="false">IF(L451="","",IFERROR(INDEX(Prioridade_SLA!$B$2:$B$5,MATCH(L451,Prioridade_SLA!$A$2:$A$5,0)),""))</f>
        <v/>
      </c>
      <c r="N451" s="16" t="str">
        <f aca="false">IF(OR(B451="",M451=""),"",B451+M451/24)</f>
        <v/>
      </c>
      <c r="O451" s="12"/>
      <c r="P451" s="12"/>
      <c r="Q451" s="18"/>
      <c r="R451" s="17" t="str">
        <f aca="false">IF(OR(B451="",Q451=""),"",(Q451-B451)*24)</f>
        <v/>
      </c>
      <c r="S451" s="11" t="str">
        <f aca="false">IF(OR(N451="",Q451=""),"",IF(Q451&lt;=N451,"Sim","Não"))</f>
        <v/>
      </c>
      <c r="T451" s="19"/>
      <c r="U451" s="12"/>
      <c r="V451" s="12"/>
    </row>
    <row r="452" customFormat="false" ht="15" hidden="false" customHeight="false" outlineLevel="0" collapsed="false">
      <c r="A452" s="12"/>
      <c r="B452" s="18"/>
      <c r="C452" s="12"/>
      <c r="D452" s="11" t="str">
        <f aca="false">IF(C452="","",IFERROR(INDEX(Unidades!$B$2:$B$218,MATCH(C452,Unidades!$A$2:$A$218,0)),"Código não encontrado"))</f>
        <v/>
      </c>
      <c r="E452" s="11" t="str">
        <f aca="false">IF(C452="","",IFERROR(INDEX(Unidades!$C$2:$C$218,MATCH(C452,Unidades!$A$2:$A$218,0)),""))</f>
        <v/>
      </c>
      <c r="F452" s="12"/>
      <c r="G452" s="12"/>
      <c r="H452" s="12"/>
      <c r="I452" s="12"/>
      <c r="J452" s="12"/>
      <c r="K452" s="19"/>
      <c r="L452" s="12"/>
      <c r="M452" s="11" t="str">
        <f aca="false">IF(L452="","",IFERROR(INDEX(Prioridade_SLA!$B$2:$B$5,MATCH(L452,Prioridade_SLA!$A$2:$A$5,0)),""))</f>
        <v/>
      </c>
      <c r="N452" s="16" t="str">
        <f aca="false">IF(OR(B452="",M452=""),"",B452+M452/24)</f>
        <v/>
      </c>
      <c r="O452" s="12"/>
      <c r="P452" s="12"/>
      <c r="Q452" s="18"/>
      <c r="R452" s="17" t="str">
        <f aca="false">IF(OR(B452="",Q452=""),"",(Q452-B452)*24)</f>
        <v/>
      </c>
      <c r="S452" s="11" t="str">
        <f aca="false">IF(OR(N452="",Q452=""),"",IF(Q452&lt;=N452,"Sim","Não"))</f>
        <v/>
      </c>
      <c r="T452" s="19"/>
      <c r="U452" s="12"/>
      <c r="V452" s="12"/>
    </row>
    <row r="453" customFormat="false" ht="15" hidden="false" customHeight="false" outlineLevel="0" collapsed="false">
      <c r="A453" s="12"/>
      <c r="B453" s="18"/>
      <c r="C453" s="12"/>
      <c r="D453" s="11" t="str">
        <f aca="false">IF(C453="","",IFERROR(INDEX(Unidades!$B$2:$B$218,MATCH(C453,Unidades!$A$2:$A$218,0)),"Código não encontrado"))</f>
        <v/>
      </c>
      <c r="E453" s="11" t="str">
        <f aca="false">IF(C453="","",IFERROR(INDEX(Unidades!$C$2:$C$218,MATCH(C453,Unidades!$A$2:$A$218,0)),""))</f>
        <v/>
      </c>
      <c r="F453" s="12"/>
      <c r="G453" s="12"/>
      <c r="H453" s="12"/>
      <c r="I453" s="12"/>
      <c r="J453" s="12"/>
      <c r="K453" s="19"/>
      <c r="L453" s="12"/>
      <c r="M453" s="11" t="str">
        <f aca="false">IF(L453="","",IFERROR(INDEX(Prioridade_SLA!$B$2:$B$5,MATCH(L453,Prioridade_SLA!$A$2:$A$5,0)),""))</f>
        <v/>
      </c>
      <c r="N453" s="16" t="str">
        <f aca="false">IF(OR(B453="",M453=""),"",B453+M453/24)</f>
        <v/>
      </c>
      <c r="O453" s="12"/>
      <c r="P453" s="12"/>
      <c r="Q453" s="18"/>
      <c r="R453" s="17" t="str">
        <f aca="false">IF(OR(B453="",Q453=""),"",(Q453-B453)*24)</f>
        <v/>
      </c>
      <c r="S453" s="11" t="str">
        <f aca="false">IF(OR(N453="",Q453=""),"",IF(Q453&lt;=N453,"Sim","Não"))</f>
        <v/>
      </c>
      <c r="T453" s="19"/>
      <c r="U453" s="12"/>
      <c r="V453" s="12"/>
    </row>
    <row r="454" customFormat="false" ht="15" hidden="false" customHeight="false" outlineLevel="0" collapsed="false">
      <c r="A454" s="12"/>
      <c r="B454" s="18"/>
      <c r="C454" s="12"/>
      <c r="D454" s="11" t="str">
        <f aca="false">IF(C454="","",IFERROR(INDEX(Unidades!$B$2:$B$218,MATCH(C454,Unidades!$A$2:$A$218,0)),"Código não encontrado"))</f>
        <v/>
      </c>
      <c r="E454" s="11" t="str">
        <f aca="false">IF(C454="","",IFERROR(INDEX(Unidades!$C$2:$C$218,MATCH(C454,Unidades!$A$2:$A$218,0)),""))</f>
        <v/>
      </c>
      <c r="F454" s="12"/>
      <c r="G454" s="12"/>
      <c r="H454" s="12"/>
      <c r="I454" s="12"/>
      <c r="J454" s="12"/>
      <c r="K454" s="19"/>
      <c r="L454" s="12"/>
      <c r="M454" s="11" t="str">
        <f aca="false">IF(L454="","",IFERROR(INDEX(Prioridade_SLA!$B$2:$B$5,MATCH(L454,Prioridade_SLA!$A$2:$A$5,0)),""))</f>
        <v/>
      </c>
      <c r="N454" s="16" t="str">
        <f aca="false">IF(OR(B454="",M454=""),"",B454+M454/24)</f>
        <v/>
      </c>
      <c r="O454" s="12"/>
      <c r="P454" s="12"/>
      <c r="Q454" s="18"/>
      <c r="R454" s="17" t="str">
        <f aca="false">IF(OR(B454="",Q454=""),"",(Q454-B454)*24)</f>
        <v/>
      </c>
      <c r="S454" s="11" t="str">
        <f aca="false">IF(OR(N454="",Q454=""),"",IF(Q454&lt;=N454,"Sim","Não"))</f>
        <v/>
      </c>
      <c r="T454" s="19"/>
      <c r="U454" s="12"/>
      <c r="V454" s="12"/>
    </row>
    <row r="455" customFormat="false" ht="15" hidden="false" customHeight="false" outlineLevel="0" collapsed="false">
      <c r="A455" s="12"/>
      <c r="B455" s="18"/>
      <c r="C455" s="12"/>
      <c r="D455" s="11" t="str">
        <f aca="false">IF(C455="","",IFERROR(INDEX(Unidades!$B$2:$B$218,MATCH(C455,Unidades!$A$2:$A$218,0)),"Código não encontrado"))</f>
        <v/>
      </c>
      <c r="E455" s="11" t="str">
        <f aca="false">IF(C455="","",IFERROR(INDEX(Unidades!$C$2:$C$218,MATCH(C455,Unidades!$A$2:$A$218,0)),""))</f>
        <v/>
      </c>
      <c r="F455" s="12"/>
      <c r="G455" s="12"/>
      <c r="H455" s="12"/>
      <c r="I455" s="12"/>
      <c r="J455" s="12"/>
      <c r="K455" s="19"/>
      <c r="L455" s="12"/>
      <c r="M455" s="11" t="str">
        <f aca="false">IF(L455="","",IFERROR(INDEX(Prioridade_SLA!$B$2:$B$5,MATCH(L455,Prioridade_SLA!$A$2:$A$5,0)),""))</f>
        <v/>
      </c>
      <c r="N455" s="16" t="str">
        <f aca="false">IF(OR(B455="",M455=""),"",B455+M455/24)</f>
        <v/>
      </c>
      <c r="O455" s="12"/>
      <c r="P455" s="12"/>
      <c r="Q455" s="18"/>
      <c r="R455" s="17" t="str">
        <f aca="false">IF(OR(B455="",Q455=""),"",(Q455-B455)*24)</f>
        <v/>
      </c>
      <c r="S455" s="11" t="str">
        <f aca="false">IF(OR(N455="",Q455=""),"",IF(Q455&lt;=N455,"Sim","Não"))</f>
        <v/>
      </c>
      <c r="T455" s="19"/>
      <c r="U455" s="12"/>
      <c r="V455" s="12"/>
    </row>
    <row r="456" customFormat="false" ht="15" hidden="false" customHeight="false" outlineLevel="0" collapsed="false">
      <c r="A456" s="12"/>
      <c r="B456" s="18"/>
      <c r="C456" s="12"/>
      <c r="D456" s="11" t="str">
        <f aca="false">IF(C456="","",IFERROR(INDEX(Unidades!$B$2:$B$218,MATCH(C456,Unidades!$A$2:$A$218,0)),"Código não encontrado"))</f>
        <v/>
      </c>
      <c r="E456" s="11" t="str">
        <f aca="false">IF(C456="","",IFERROR(INDEX(Unidades!$C$2:$C$218,MATCH(C456,Unidades!$A$2:$A$218,0)),""))</f>
        <v/>
      </c>
      <c r="F456" s="12"/>
      <c r="G456" s="12"/>
      <c r="H456" s="12"/>
      <c r="I456" s="12"/>
      <c r="J456" s="12"/>
      <c r="K456" s="19"/>
      <c r="L456" s="12"/>
      <c r="M456" s="11" t="str">
        <f aca="false">IF(L456="","",IFERROR(INDEX(Prioridade_SLA!$B$2:$B$5,MATCH(L456,Prioridade_SLA!$A$2:$A$5,0)),""))</f>
        <v/>
      </c>
      <c r="N456" s="16" t="str">
        <f aca="false">IF(OR(B456="",M456=""),"",B456+M456/24)</f>
        <v/>
      </c>
      <c r="O456" s="12"/>
      <c r="P456" s="12"/>
      <c r="Q456" s="18"/>
      <c r="R456" s="17" t="str">
        <f aca="false">IF(OR(B456="",Q456=""),"",(Q456-B456)*24)</f>
        <v/>
      </c>
      <c r="S456" s="11" t="str">
        <f aca="false">IF(OR(N456="",Q456=""),"",IF(Q456&lt;=N456,"Sim","Não"))</f>
        <v/>
      </c>
      <c r="T456" s="19"/>
      <c r="U456" s="12"/>
      <c r="V456" s="12"/>
    </row>
    <row r="457" customFormat="false" ht="15" hidden="false" customHeight="false" outlineLevel="0" collapsed="false">
      <c r="A457" s="12"/>
      <c r="B457" s="18"/>
      <c r="C457" s="12"/>
      <c r="D457" s="11" t="str">
        <f aca="false">IF(C457="","",IFERROR(INDEX(Unidades!$B$2:$B$218,MATCH(C457,Unidades!$A$2:$A$218,0)),"Código não encontrado"))</f>
        <v/>
      </c>
      <c r="E457" s="11" t="str">
        <f aca="false">IF(C457="","",IFERROR(INDEX(Unidades!$C$2:$C$218,MATCH(C457,Unidades!$A$2:$A$218,0)),""))</f>
        <v/>
      </c>
      <c r="F457" s="12"/>
      <c r="G457" s="12"/>
      <c r="H457" s="12"/>
      <c r="I457" s="12"/>
      <c r="J457" s="12"/>
      <c r="K457" s="19"/>
      <c r="L457" s="12"/>
      <c r="M457" s="11" t="str">
        <f aca="false">IF(L457="","",IFERROR(INDEX(Prioridade_SLA!$B$2:$B$5,MATCH(L457,Prioridade_SLA!$A$2:$A$5,0)),""))</f>
        <v/>
      </c>
      <c r="N457" s="16" t="str">
        <f aca="false">IF(OR(B457="",M457=""),"",B457+M457/24)</f>
        <v/>
      </c>
      <c r="O457" s="12"/>
      <c r="P457" s="12"/>
      <c r="Q457" s="18"/>
      <c r="R457" s="17" t="str">
        <f aca="false">IF(OR(B457="",Q457=""),"",(Q457-B457)*24)</f>
        <v/>
      </c>
      <c r="S457" s="11" t="str">
        <f aca="false">IF(OR(N457="",Q457=""),"",IF(Q457&lt;=N457,"Sim","Não"))</f>
        <v/>
      </c>
      <c r="T457" s="19"/>
      <c r="U457" s="12"/>
      <c r="V457" s="12"/>
    </row>
    <row r="458" customFormat="false" ht="15" hidden="false" customHeight="false" outlineLevel="0" collapsed="false">
      <c r="A458" s="12"/>
      <c r="B458" s="18"/>
      <c r="C458" s="12"/>
      <c r="D458" s="11" t="str">
        <f aca="false">IF(C458="","",IFERROR(INDEX(Unidades!$B$2:$B$218,MATCH(C458,Unidades!$A$2:$A$218,0)),"Código não encontrado"))</f>
        <v/>
      </c>
      <c r="E458" s="11" t="str">
        <f aca="false">IF(C458="","",IFERROR(INDEX(Unidades!$C$2:$C$218,MATCH(C458,Unidades!$A$2:$A$218,0)),""))</f>
        <v/>
      </c>
      <c r="F458" s="12"/>
      <c r="G458" s="12"/>
      <c r="H458" s="12"/>
      <c r="I458" s="12"/>
      <c r="J458" s="12"/>
      <c r="K458" s="19"/>
      <c r="L458" s="12"/>
      <c r="M458" s="11" t="str">
        <f aca="false">IF(L458="","",IFERROR(INDEX(Prioridade_SLA!$B$2:$B$5,MATCH(L458,Prioridade_SLA!$A$2:$A$5,0)),""))</f>
        <v/>
      </c>
      <c r="N458" s="16" t="str">
        <f aca="false">IF(OR(B458="",M458=""),"",B458+M458/24)</f>
        <v/>
      </c>
      <c r="O458" s="12"/>
      <c r="P458" s="12"/>
      <c r="Q458" s="18"/>
      <c r="R458" s="17" t="str">
        <f aca="false">IF(OR(B458="",Q458=""),"",(Q458-B458)*24)</f>
        <v/>
      </c>
      <c r="S458" s="11" t="str">
        <f aca="false">IF(OR(N458="",Q458=""),"",IF(Q458&lt;=N458,"Sim","Não"))</f>
        <v/>
      </c>
      <c r="T458" s="19"/>
      <c r="U458" s="12"/>
      <c r="V458" s="12"/>
    </row>
    <row r="459" customFormat="false" ht="15" hidden="false" customHeight="false" outlineLevel="0" collapsed="false">
      <c r="A459" s="12"/>
      <c r="B459" s="18"/>
      <c r="C459" s="12"/>
      <c r="D459" s="11" t="str">
        <f aca="false">IF(C459="","",IFERROR(INDEX(Unidades!$B$2:$B$218,MATCH(C459,Unidades!$A$2:$A$218,0)),"Código não encontrado"))</f>
        <v/>
      </c>
      <c r="E459" s="11" t="str">
        <f aca="false">IF(C459="","",IFERROR(INDEX(Unidades!$C$2:$C$218,MATCH(C459,Unidades!$A$2:$A$218,0)),""))</f>
        <v/>
      </c>
      <c r="F459" s="12"/>
      <c r="G459" s="12"/>
      <c r="H459" s="12"/>
      <c r="I459" s="12"/>
      <c r="J459" s="12"/>
      <c r="K459" s="19"/>
      <c r="L459" s="12"/>
      <c r="M459" s="11" t="str">
        <f aca="false">IF(L459="","",IFERROR(INDEX(Prioridade_SLA!$B$2:$B$5,MATCH(L459,Prioridade_SLA!$A$2:$A$5,0)),""))</f>
        <v/>
      </c>
      <c r="N459" s="16" t="str">
        <f aca="false">IF(OR(B459="",M459=""),"",B459+M459/24)</f>
        <v/>
      </c>
      <c r="O459" s="12"/>
      <c r="P459" s="12"/>
      <c r="Q459" s="18"/>
      <c r="R459" s="17" t="str">
        <f aca="false">IF(OR(B459="",Q459=""),"",(Q459-B459)*24)</f>
        <v/>
      </c>
      <c r="S459" s="11" t="str">
        <f aca="false">IF(OR(N459="",Q459=""),"",IF(Q459&lt;=N459,"Sim","Não"))</f>
        <v/>
      </c>
      <c r="T459" s="19"/>
      <c r="U459" s="12"/>
      <c r="V459" s="12"/>
    </row>
    <row r="460" customFormat="false" ht="15" hidden="false" customHeight="false" outlineLevel="0" collapsed="false">
      <c r="A460" s="12"/>
      <c r="B460" s="18"/>
      <c r="C460" s="12"/>
      <c r="D460" s="11" t="str">
        <f aca="false">IF(C460="","",IFERROR(INDEX(Unidades!$B$2:$B$218,MATCH(C460,Unidades!$A$2:$A$218,0)),"Código não encontrado"))</f>
        <v/>
      </c>
      <c r="E460" s="11" t="str">
        <f aca="false">IF(C460="","",IFERROR(INDEX(Unidades!$C$2:$C$218,MATCH(C460,Unidades!$A$2:$A$218,0)),""))</f>
        <v/>
      </c>
      <c r="F460" s="12"/>
      <c r="G460" s="12"/>
      <c r="H460" s="12"/>
      <c r="I460" s="12"/>
      <c r="J460" s="12"/>
      <c r="K460" s="19"/>
      <c r="L460" s="12"/>
      <c r="M460" s="11" t="str">
        <f aca="false">IF(L460="","",IFERROR(INDEX(Prioridade_SLA!$B$2:$B$5,MATCH(L460,Prioridade_SLA!$A$2:$A$5,0)),""))</f>
        <v/>
      </c>
      <c r="N460" s="16" t="str">
        <f aca="false">IF(OR(B460="",M460=""),"",B460+M460/24)</f>
        <v/>
      </c>
      <c r="O460" s="12"/>
      <c r="P460" s="12"/>
      <c r="Q460" s="18"/>
      <c r="R460" s="17" t="str">
        <f aca="false">IF(OR(B460="",Q460=""),"",(Q460-B460)*24)</f>
        <v/>
      </c>
      <c r="S460" s="11" t="str">
        <f aca="false">IF(OR(N460="",Q460=""),"",IF(Q460&lt;=N460,"Sim","Não"))</f>
        <v/>
      </c>
      <c r="T460" s="19"/>
      <c r="U460" s="12"/>
      <c r="V460" s="12"/>
    </row>
    <row r="461" customFormat="false" ht="15" hidden="false" customHeight="false" outlineLevel="0" collapsed="false">
      <c r="A461" s="12"/>
      <c r="B461" s="18"/>
      <c r="C461" s="12"/>
      <c r="D461" s="11" t="str">
        <f aca="false">IF(C461="","",IFERROR(INDEX(Unidades!$B$2:$B$218,MATCH(C461,Unidades!$A$2:$A$218,0)),"Código não encontrado"))</f>
        <v/>
      </c>
      <c r="E461" s="11" t="str">
        <f aca="false">IF(C461="","",IFERROR(INDEX(Unidades!$C$2:$C$218,MATCH(C461,Unidades!$A$2:$A$218,0)),""))</f>
        <v/>
      </c>
      <c r="F461" s="12"/>
      <c r="G461" s="12"/>
      <c r="H461" s="12"/>
      <c r="I461" s="12"/>
      <c r="J461" s="12"/>
      <c r="K461" s="19"/>
      <c r="L461" s="12"/>
      <c r="M461" s="11" t="str">
        <f aca="false">IF(L461="","",IFERROR(INDEX(Prioridade_SLA!$B$2:$B$5,MATCH(L461,Prioridade_SLA!$A$2:$A$5,0)),""))</f>
        <v/>
      </c>
      <c r="N461" s="16" t="str">
        <f aca="false">IF(OR(B461="",M461=""),"",B461+M461/24)</f>
        <v/>
      </c>
      <c r="O461" s="12"/>
      <c r="P461" s="12"/>
      <c r="Q461" s="18"/>
      <c r="R461" s="17" t="str">
        <f aca="false">IF(OR(B461="",Q461=""),"",(Q461-B461)*24)</f>
        <v/>
      </c>
      <c r="S461" s="11" t="str">
        <f aca="false">IF(OR(N461="",Q461=""),"",IF(Q461&lt;=N461,"Sim","Não"))</f>
        <v/>
      </c>
      <c r="T461" s="19"/>
      <c r="U461" s="12"/>
      <c r="V461" s="12"/>
    </row>
    <row r="462" customFormat="false" ht="15" hidden="false" customHeight="false" outlineLevel="0" collapsed="false">
      <c r="A462" s="12"/>
      <c r="B462" s="18"/>
      <c r="C462" s="12"/>
      <c r="D462" s="11" t="str">
        <f aca="false">IF(C462="","",IFERROR(INDEX(Unidades!$B$2:$B$218,MATCH(C462,Unidades!$A$2:$A$218,0)),"Código não encontrado"))</f>
        <v/>
      </c>
      <c r="E462" s="11" t="str">
        <f aca="false">IF(C462="","",IFERROR(INDEX(Unidades!$C$2:$C$218,MATCH(C462,Unidades!$A$2:$A$218,0)),""))</f>
        <v/>
      </c>
      <c r="F462" s="12"/>
      <c r="G462" s="12"/>
      <c r="H462" s="12"/>
      <c r="I462" s="12"/>
      <c r="J462" s="12"/>
      <c r="K462" s="19"/>
      <c r="L462" s="12"/>
      <c r="M462" s="11" t="str">
        <f aca="false">IF(L462="","",IFERROR(INDEX(Prioridade_SLA!$B$2:$B$5,MATCH(L462,Prioridade_SLA!$A$2:$A$5,0)),""))</f>
        <v/>
      </c>
      <c r="N462" s="16" t="str">
        <f aca="false">IF(OR(B462="",M462=""),"",B462+M462/24)</f>
        <v/>
      </c>
      <c r="O462" s="12"/>
      <c r="P462" s="12"/>
      <c r="Q462" s="18"/>
      <c r="R462" s="17" t="str">
        <f aca="false">IF(OR(B462="",Q462=""),"",(Q462-B462)*24)</f>
        <v/>
      </c>
      <c r="S462" s="11" t="str">
        <f aca="false">IF(OR(N462="",Q462=""),"",IF(Q462&lt;=N462,"Sim","Não"))</f>
        <v/>
      </c>
      <c r="T462" s="19"/>
      <c r="U462" s="12"/>
      <c r="V462" s="12"/>
    </row>
    <row r="463" customFormat="false" ht="15" hidden="false" customHeight="false" outlineLevel="0" collapsed="false">
      <c r="A463" s="12"/>
      <c r="B463" s="18"/>
      <c r="C463" s="12"/>
      <c r="D463" s="11" t="str">
        <f aca="false">IF(C463="","",IFERROR(INDEX(Unidades!$B$2:$B$218,MATCH(C463,Unidades!$A$2:$A$218,0)),"Código não encontrado"))</f>
        <v/>
      </c>
      <c r="E463" s="11" t="str">
        <f aca="false">IF(C463="","",IFERROR(INDEX(Unidades!$C$2:$C$218,MATCH(C463,Unidades!$A$2:$A$218,0)),""))</f>
        <v/>
      </c>
      <c r="F463" s="12"/>
      <c r="G463" s="12"/>
      <c r="H463" s="12"/>
      <c r="I463" s="12"/>
      <c r="J463" s="12"/>
      <c r="K463" s="19"/>
      <c r="L463" s="12"/>
      <c r="M463" s="11" t="str">
        <f aca="false">IF(L463="","",IFERROR(INDEX(Prioridade_SLA!$B$2:$B$5,MATCH(L463,Prioridade_SLA!$A$2:$A$5,0)),""))</f>
        <v/>
      </c>
      <c r="N463" s="16" t="str">
        <f aca="false">IF(OR(B463="",M463=""),"",B463+M463/24)</f>
        <v/>
      </c>
      <c r="O463" s="12"/>
      <c r="P463" s="12"/>
      <c r="Q463" s="18"/>
      <c r="R463" s="17" t="str">
        <f aca="false">IF(OR(B463="",Q463=""),"",(Q463-B463)*24)</f>
        <v/>
      </c>
      <c r="S463" s="11" t="str">
        <f aca="false">IF(OR(N463="",Q463=""),"",IF(Q463&lt;=N463,"Sim","Não"))</f>
        <v/>
      </c>
      <c r="T463" s="19"/>
      <c r="U463" s="12"/>
      <c r="V463" s="12"/>
    </row>
    <row r="464" customFormat="false" ht="15" hidden="false" customHeight="false" outlineLevel="0" collapsed="false">
      <c r="A464" s="12"/>
      <c r="B464" s="18"/>
      <c r="C464" s="12"/>
      <c r="D464" s="11" t="str">
        <f aca="false">IF(C464="","",IFERROR(INDEX(Unidades!$B$2:$B$218,MATCH(C464,Unidades!$A$2:$A$218,0)),"Código não encontrado"))</f>
        <v/>
      </c>
      <c r="E464" s="11" t="str">
        <f aca="false">IF(C464="","",IFERROR(INDEX(Unidades!$C$2:$C$218,MATCH(C464,Unidades!$A$2:$A$218,0)),""))</f>
        <v/>
      </c>
      <c r="F464" s="12"/>
      <c r="G464" s="12"/>
      <c r="H464" s="12"/>
      <c r="I464" s="12"/>
      <c r="J464" s="12"/>
      <c r="K464" s="19"/>
      <c r="L464" s="12"/>
      <c r="M464" s="11" t="str">
        <f aca="false">IF(L464="","",IFERROR(INDEX(Prioridade_SLA!$B$2:$B$5,MATCH(L464,Prioridade_SLA!$A$2:$A$5,0)),""))</f>
        <v/>
      </c>
      <c r="N464" s="16" t="str">
        <f aca="false">IF(OR(B464="",M464=""),"",B464+M464/24)</f>
        <v/>
      </c>
      <c r="O464" s="12"/>
      <c r="P464" s="12"/>
      <c r="Q464" s="18"/>
      <c r="R464" s="17" t="str">
        <f aca="false">IF(OR(B464="",Q464=""),"",(Q464-B464)*24)</f>
        <v/>
      </c>
      <c r="S464" s="11" t="str">
        <f aca="false">IF(OR(N464="",Q464=""),"",IF(Q464&lt;=N464,"Sim","Não"))</f>
        <v/>
      </c>
      <c r="T464" s="19"/>
      <c r="U464" s="12"/>
      <c r="V464" s="12"/>
    </row>
    <row r="465" customFormat="false" ht="15" hidden="false" customHeight="false" outlineLevel="0" collapsed="false">
      <c r="A465" s="12"/>
      <c r="B465" s="18"/>
      <c r="C465" s="12"/>
      <c r="D465" s="11" t="str">
        <f aca="false">IF(C465="","",IFERROR(INDEX(Unidades!$B$2:$B$218,MATCH(C465,Unidades!$A$2:$A$218,0)),"Código não encontrado"))</f>
        <v/>
      </c>
      <c r="E465" s="11" t="str">
        <f aca="false">IF(C465="","",IFERROR(INDEX(Unidades!$C$2:$C$218,MATCH(C465,Unidades!$A$2:$A$218,0)),""))</f>
        <v/>
      </c>
      <c r="F465" s="12"/>
      <c r="G465" s="12"/>
      <c r="H465" s="12"/>
      <c r="I465" s="12"/>
      <c r="J465" s="12"/>
      <c r="K465" s="19"/>
      <c r="L465" s="12"/>
      <c r="M465" s="11" t="str">
        <f aca="false">IF(L465="","",IFERROR(INDEX(Prioridade_SLA!$B$2:$B$5,MATCH(L465,Prioridade_SLA!$A$2:$A$5,0)),""))</f>
        <v/>
      </c>
      <c r="N465" s="16" t="str">
        <f aca="false">IF(OR(B465="",M465=""),"",B465+M465/24)</f>
        <v/>
      </c>
      <c r="O465" s="12"/>
      <c r="P465" s="12"/>
      <c r="Q465" s="18"/>
      <c r="R465" s="17" t="str">
        <f aca="false">IF(OR(B465="",Q465=""),"",(Q465-B465)*24)</f>
        <v/>
      </c>
      <c r="S465" s="11" t="str">
        <f aca="false">IF(OR(N465="",Q465=""),"",IF(Q465&lt;=N465,"Sim","Não"))</f>
        <v/>
      </c>
      <c r="T465" s="19"/>
      <c r="U465" s="12"/>
      <c r="V465" s="12"/>
    </row>
    <row r="466" customFormat="false" ht="15" hidden="false" customHeight="false" outlineLevel="0" collapsed="false">
      <c r="A466" s="12"/>
      <c r="B466" s="18"/>
      <c r="C466" s="12"/>
      <c r="D466" s="11" t="str">
        <f aca="false">IF(C466="","",IFERROR(INDEX(Unidades!$B$2:$B$218,MATCH(C466,Unidades!$A$2:$A$218,0)),"Código não encontrado"))</f>
        <v/>
      </c>
      <c r="E466" s="11" t="str">
        <f aca="false">IF(C466="","",IFERROR(INDEX(Unidades!$C$2:$C$218,MATCH(C466,Unidades!$A$2:$A$218,0)),""))</f>
        <v/>
      </c>
      <c r="F466" s="12"/>
      <c r="G466" s="12"/>
      <c r="H466" s="12"/>
      <c r="I466" s="12"/>
      <c r="J466" s="12"/>
      <c r="K466" s="19"/>
      <c r="L466" s="12"/>
      <c r="M466" s="11" t="str">
        <f aca="false">IF(L466="","",IFERROR(INDEX(Prioridade_SLA!$B$2:$B$5,MATCH(L466,Prioridade_SLA!$A$2:$A$5,0)),""))</f>
        <v/>
      </c>
      <c r="N466" s="16" t="str">
        <f aca="false">IF(OR(B466="",M466=""),"",B466+M466/24)</f>
        <v/>
      </c>
      <c r="O466" s="12"/>
      <c r="P466" s="12"/>
      <c r="Q466" s="18"/>
      <c r="R466" s="17" t="str">
        <f aca="false">IF(OR(B466="",Q466=""),"",(Q466-B466)*24)</f>
        <v/>
      </c>
      <c r="S466" s="11" t="str">
        <f aca="false">IF(OR(N466="",Q466=""),"",IF(Q466&lt;=N466,"Sim","Não"))</f>
        <v/>
      </c>
      <c r="T466" s="19"/>
      <c r="U466" s="12"/>
      <c r="V466" s="12"/>
    </row>
    <row r="467" customFormat="false" ht="15" hidden="false" customHeight="false" outlineLevel="0" collapsed="false">
      <c r="A467" s="12"/>
      <c r="B467" s="18"/>
      <c r="C467" s="12"/>
      <c r="D467" s="11" t="str">
        <f aca="false">IF(C467="","",IFERROR(INDEX(Unidades!$B$2:$B$218,MATCH(C467,Unidades!$A$2:$A$218,0)),"Código não encontrado"))</f>
        <v/>
      </c>
      <c r="E467" s="11" t="str">
        <f aca="false">IF(C467="","",IFERROR(INDEX(Unidades!$C$2:$C$218,MATCH(C467,Unidades!$A$2:$A$218,0)),""))</f>
        <v/>
      </c>
      <c r="F467" s="12"/>
      <c r="G467" s="12"/>
      <c r="H467" s="12"/>
      <c r="I467" s="12"/>
      <c r="J467" s="12"/>
      <c r="K467" s="19"/>
      <c r="L467" s="12"/>
      <c r="M467" s="11" t="str">
        <f aca="false">IF(L467="","",IFERROR(INDEX(Prioridade_SLA!$B$2:$B$5,MATCH(L467,Prioridade_SLA!$A$2:$A$5,0)),""))</f>
        <v/>
      </c>
      <c r="N467" s="16" t="str">
        <f aca="false">IF(OR(B467="",M467=""),"",B467+M467/24)</f>
        <v/>
      </c>
      <c r="O467" s="12"/>
      <c r="P467" s="12"/>
      <c r="Q467" s="18"/>
      <c r="R467" s="17" t="str">
        <f aca="false">IF(OR(B467="",Q467=""),"",(Q467-B467)*24)</f>
        <v/>
      </c>
      <c r="S467" s="11" t="str">
        <f aca="false">IF(OR(N467="",Q467=""),"",IF(Q467&lt;=N467,"Sim","Não"))</f>
        <v/>
      </c>
      <c r="T467" s="19"/>
      <c r="U467" s="12"/>
      <c r="V467" s="12"/>
    </row>
    <row r="468" customFormat="false" ht="15" hidden="false" customHeight="false" outlineLevel="0" collapsed="false">
      <c r="A468" s="12"/>
      <c r="B468" s="18"/>
      <c r="C468" s="12"/>
      <c r="D468" s="11" t="str">
        <f aca="false">IF(C468="","",IFERROR(INDEX(Unidades!$B$2:$B$218,MATCH(C468,Unidades!$A$2:$A$218,0)),"Código não encontrado"))</f>
        <v/>
      </c>
      <c r="E468" s="11" t="str">
        <f aca="false">IF(C468="","",IFERROR(INDEX(Unidades!$C$2:$C$218,MATCH(C468,Unidades!$A$2:$A$218,0)),""))</f>
        <v/>
      </c>
      <c r="F468" s="12"/>
      <c r="G468" s="12"/>
      <c r="H468" s="12"/>
      <c r="I468" s="12"/>
      <c r="J468" s="12"/>
      <c r="K468" s="19"/>
      <c r="L468" s="12"/>
      <c r="M468" s="11" t="str">
        <f aca="false">IF(L468="","",IFERROR(INDEX(Prioridade_SLA!$B$2:$B$5,MATCH(L468,Prioridade_SLA!$A$2:$A$5,0)),""))</f>
        <v/>
      </c>
      <c r="N468" s="16" t="str">
        <f aca="false">IF(OR(B468="",M468=""),"",B468+M468/24)</f>
        <v/>
      </c>
      <c r="O468" s="12"/>
      <c r="P468" s="12"/>
      <c r="Q468" s="18"/>
      <c r="R468" s="17" t="str">
        <f aca="false">IF(OR(B468="",Q468=""),"",(Q468-B468)*24)</f>
        <v/>
      </c>
      <c r="S468" s="11" t="str">
        <f aca="false">IF(OR(N468="",Q468=""),"",IF(Q468&lt;=N468,"Sim","Não"))</f>
        <v/>
      </c>
      <c r="T468" s="19"/>
      <c r="U468" s="12"/>
      <c r="V468" s="12"/>
    </row>
    <row r="469" customFormat="false" ht="15" hidden="false" customHeight="false" outlineLevel="0" collapsed="false">
      <c r="A469" s="12"/>
      <c r="B469" s="18"/>
      <c r="C469" s="12"/>
      <c r="D469" s="11" t="str">
        <f aca="false">IF(C469="","",IFERROR(INDEX(Unidades!$B$2:$B$218,MATCH(C469,Unidades!$A$2:$A$218,0)),"Código não encontrado"))</f>
        <v/>
      </c>
      <c r="E469" s="11" t="str">
        <f aca="false">IF(C469="","",IFERROR(INDEX(Unidades!$C$2:$C$218,MATCH(C469,Unidades!$A$2:$A$218,0)),""))</f>
        <v/>
      </c>
      <c r="F469" s="12"/>
      <c r="G469" s="12"/>
      <c r="H469" s="12"/>
      <c r="I469" s="12"/>
      <c r="J469" s="12"/>
      <c r="K469" s="19"/>
      <c r="L469" s="12"/>
      <c r="M469" s="11" t="str">
        <f aca="false">IF(L469="","",IFERROR(INDEX(Prioridade_SLA!$B$2:$B$5,MATCH(L469,Prioridade_SLA!$A$2:$A$5,0)),""))</f>
        <v/>
      </c>
      <c r="N469" s="16" t="str">
        <f aca="false">IF(OR(B469="",M469=""),"",B469+M469/24)</f>
        <v/>
      </c>
      <c r="O469" s="12"/>
      <c r="P469" s="12"/>
      <c r="Q469" s="18"/>
      <c r="R469" s="17" t="str">
        <f aca="false">IF(OR(B469="",Q469=""),"",(Q469-B469)*24)</f>
        <v/>
      </c>
      <c r="S469" s="11" t="str">
        <f aca="false">IF(OR(N469="",Q469=""),"",IF(Q469&lt;=N469,"Sim","Não"))</f>
        <v/>
      </c>
      <c r="T469" s="19"/>
      <c r="U469" s="12"/>
      <c r="V469" s="12"/>
    </row>
    <row r="470" customFormat="false" ht="15" hidden="false" customHeight="false" outlineLevel="0" collapsed="false">
      <c r="A470" s="12"/>
      <c r="B470" s="18"/>
      <c r="C470" s="12"/>
      <c r="D470" s="11" t="str">
        <f aca="false">IF(C470="","",IFERROR(INDEX(Unidades!$B$2:$B$218,MATCH(C470,Unidades!$A$2:$A$218,0)),"Código não encontrado"))</f>
        <v/>
      </c>
      <c r="E470" s="11" t="str">
        <f aca="false">IF(C470="","",IFERROR(INDEX(Unidades!$C$2:$C$218,MATCH(C470,Unidades!$A$2:$A$218,0)),""))</f>
        <v/>
      </c>
      <c r="F470" s="12"/>
      <c r="G470" s="12"/>
      <c r="H470" s="12"/>
      <c r="I470" s="12"/>
      <c r="J470" s="12"/>
      <c r="K470" s="19"/>
      <c r="L470" s="12"/>
      <c r="M470" s="11" t="str">
        <f aca="false">IF(L470="","",IFERROR(INDEX(Prioridade_SLA!$B$2:$B$5,MATCH(L470,Prioridade_SLA!$A$2:$A$5,0)),""))</f>
        <v/>
      </c>
      <c r="N470" s="16" t="str">
        <f aca="false">IF(OR(B470="",M470=""),"",B470+M470/24)</f>
        <v/>
      </c>
      <c r="O470" s="12"/>
      <c r="P470" s="12"/>
      <c r="Q470" s="18"/>
      <c r="R470" s="17" t="str">
        <f aca="false">IF(OR(B470="",Q470=""),"",(Q470-B470)*24)</f>
        <v/>
      </c>
      <c r="S470" s="11" t="str">
        <f aca="false">IF(OR(N470="",Q470=""),"",IF(Q470&lt;=N470,"Sim","Não"))</f>
        <v/>
      </c>
      <c r="T470" s="19"/>
      <c r="U470" s="12"/>
      <c r="V470" s="12"/>
    </row>
    <row r="471" customFormat="false" ht="15" hidden="false" customHeight="false" outlineLevel="0" collapsed="false">
      <c r="A471" s="12"/>
      <c r="B471" s="18"/>
      <c r="C471" s="12"/>
      <c r="D471" s="11" t="str">
        <f aca="false">IF(C471="","",IFERROR(INDEX(Unidades!$B$2:$B$218,MATCH(C471,Unidades!$A$2:$A$218,0)),"Código não encontrado"))</f>
        <v/>
      </c>
      <c r="E471" s="11" t="str">
        <f aca="false">IF(C471="","",IFERROR(INDEX(Unidades!$C$2:$C$218,MATCH(C471,Unidades!$A$2:$A$218,0)),""))</f>
        <v/>
      </c>
      <c r="F471" s="12"/>
      <c r="G471" s="12"/>
      <c r="H471" s="12"/>
      <c r="I471" s="12"/>
      <c r="J471" s="12"/>
      <c r="K471" s="19"/>
      <c r="L471" s="12"/>
      <c r="M471" s="11" t="str">
        <f aca="false">IF(L471="","",IFERROR(INDEX(Prioridade_SLA!$B$2:$B$5,MATCH(L471,Prioridade_SLA!$A$2:$A$5,0)),""))</f>
        <v/>
      </c>
      <c r="N471" s="16" t="str">
        <f aca="false">IF(OR(B471="",M471=""),"",B471+M471/24)</f>
        <v/>
      </c>
      <c r="O471" s="12"/>
      <c r="P471" s="12"/>
      <c r="Q471" s="18"/>
      <c r="R471" s="17" t="str">
        <f aca="false">IF(OR(B471="",Q471=""),"",(Q471-B471)*24)</f>
        <v/>
      </c>
      <c r="S471" s="11" t="str">
        <f aca="false">IF(OR(N471="",Q471=""),"",IF(Q471&lt;=N471,"Sim","Não"))</f>
        <v/>
      </c>
      <c r="T471" s="19"/>
      <c r="U471" s="12"/>
      <c r="V471" s="12"/>
    </row>
    <row r="472" customFormat="false" ht="15" hidden="false" customHeight="false" outlineLevel="0" collapsed="false">
      <c r="A472" s="12"/>
      <c r="B472" s="18"/>
      <c r="C472" s="12"/>
      <c r="D472" s="11" t="str">
        <f aca="false">IF(C472="","",IFERROR(INDEX(Unidades!$B$2:$B$218,MATCH(C472,Unidades!$A$2:$A$218,0)),"Código não encontrado"))</f>
        <v/>
      </c>
      <c r="E472" s="11" t="str">
        <f aca="false">IF(C472="","",IFERROR(INDEX(Unidades!$C$2:$C$218,MATCH(C472,Unidades!$A$2:$A$218,0)),""))</f>
        <v/>
      </c>
      <c r="F472" s="12"/>
      <c r="G472" s="12"/>
      <c r="H472" s="12"/>
      <c r="I472" s="12"/>
      <c r="J472" s="12"/>
      <c r="K472" s="19"/>
      <c r="L472" s="12"/>
      <c r="M472" s="11" t="str">
        <f aca="false">IF(L472="","",IFERROR(INDEX(Prioridade_SLA!$B$2:$B$5,MATCH(L472,Prioridade_SLA!$A$2:$A$5,0)),""))</f>
        <v/>
      </c>
      <c r="N472" s="16" t="str">
        <f aca="false">IF(OR(B472="",M472=""),"",B472+M472/24)</f>
        <v/>
      </c>
      <c r="O472" s="12"/>
      <c r="P472" s="12"/>
      <c r="Q472" s="18"/>
      <c r="R472" s="17" t="str">
        <f aca="false">IF(OR(B472="",Q472=""),"",(Q472-B472)*24)</f>
        <v/>
      </c>
      <c r="S472" s="11" t="str">
        <f aca="false">IF(OR(N472="",Q472=""),"",IF(Q472&lt;=N472,"Sim","Não"))</f>
        <v/>
      </c>
      <c r="T472" s="19"/>
      <c r="U472" s="12"/>
      <c r="V472" s="12"/>
    </row>
    <row r="473" customFormat="false" ht="15" hidden="false" customHeight="false" outlineLevel="0" collapsed="false">
      <c r="A473" s="12"/>
      <c r="B473" s="18"/>
      <c r="C473" s="12"/>
      <c r="D473" s="11" t="str">
        <f aca="false">IF(C473="","",IFERROR(INDEX(Unidades!$B$2:$B$218,MATCH(C473,Unidades!$A$2:$A$218,0)),"Código não encontrado"))</f>
        <v/>
      </c>
      <c r="E473" s="11" t="str">
        <f aca="false">IF(C473="","",IFERROR(INDEX(Unidades!$C$2:$C$218,MATCH(C473,Unidades!$A$2:$A$218,0)),""))</f>
        <v/>
      </c>
      <c r="F473" s="12"/>
      <c r="G473" s="12"/>
      <c r="H473" s="12"/>
      <c r="I473" s="12"/>
      <c r="J473" s="12"/>
      <c r="K473" s="19"/>
      <c r="L473" s="12"/>
      <c r="M473" s="11" t="str">
        <f aca="false">IF(L473="","",IFERROR(INDEX(Prioridade_SLA!$B$2:$B$5,MATCH(L473,Prioridade_SLA!$A$2:$A$5,0)),""))</f>
        <v/>
      </c>
      <c r="N473" s="16" t="str">
        <f aca="false">IF(OR(B473="",M473=""),"",B473+M473/24)</f>
        <v/>
      </c>
      <c r="O473" s="12"/>
      <c r="P473" s="12"/>
      <c r="Q473" s="18"/>
      <c r="R473" s="17" t="str">
        <f aca="false">IF(OR(B473="",Q473=""),"",(Q473-B473)*24)</f>
        <v/>
      </c>
      <c r="S473" s="11" t="str">
        <f aca="false">IF(OR(N473="",Q473=""),"",IF(Q473&lt;=N473,"Sim","Não"))</f>
        <v/>
      </c>
      <c r="T473" s="19"/>
      <c r="U473" s="12"/>
      <c r="V473" s="12"/>
    </row>
    <row r="474" customFormat="false" ht="15" hidden="false" customHeight="false" outlineLevel="0" collapsed="false">
      <c r="A474" s="12"/>
      <c r="B474" s="18"/>
      <c r="C474" s="12"/>
      <c r="D474" s="11" t="str">
        <f aca="false">IF(C474="","",IFERROR(INDEX(Unidades!$B$2:$B$218,MATCH(C474,Unidades!$A$2:$A$218,0)),"Código não encontrado"))</f>
        <v/>
      </c>
      <c r="E474" s="11" t="str">
        <f aca="false">IF(C474="","",IFERROR(INDEX(Unidades!$C$2:$C$218,MATCH(C474,Unidades!$A$2:$A$218,0)),""))</f>
        <v/>
      </c>
      <c r="F474" s="12"/>
      <c r="G474" s="12"/>
      <c r="H474" s="12"/>
      <c r="I474" s="12"/>
      <c r="J474" s="12"/>
      <c r="K474" s="19"/>
      <c r="L474" s="12"/>
      <c r="M474" s="11" t="str">
        <f aca="false">IF(L474="","",IFERROR(INDEX(Prioridade_SLA!$B$2:$B$5,MATCH(L474,Prioridade_SLA!$A$2:$A$5,0)),""))</f>
        <v/>
      </c>
      <c r="N474" s="16" t="str">
        <f aca="false">IF(OR(B474="",M474=""),"",B474+M474/24)</f>
        <v/>
      </c>
      <c r="O474" s="12"/>
      <c r="P474" s="12"/>
      <c r="Q474" s="18"/>
      <c r="R474" s="17" t="str">
        <f aca="false">IF(OR(B474="",Q474=""),"",(Q474-B474)*24)</f>
        <v/>
      </c>
      <c r="S474" s="11" t="str">
        <f aca="false">IF(OR(N474="",Q474=""),"",IF(Q474&lt;=N474,"Sim","Não"))</f>
        <v/>
      </c>
      <c r="T474" s="19"/>
      <c r="U474" s="12"/>
      <c r="V474" s="12"/>
    </row>
    <row r="475" customFormat="false" ht="15" hidden="false" customHeight="false" outlineLevel="0" collapsed="false">
      <c r="A475" s="12"/>
      <c r="B475" s="18"/>
      <c r="C475" s="12"/>
      <c r="D475" s="11" t="str">
        <f aca="false">IF(C475="","",IFERROR(INDEX(Unidades!$B$2:$B$218,MATCH(C475,Unidades!$A$2:$A$218,0)),"Código não encontrado"))</f>
        <v/>
      </c>
      <c r="E475" s="11" t="str">
        <f aca="false">IF(C475="","",IFERROR(INDEX(Unidades!$C$2:$C$218,MATCH(C475,Unidades!$A$2:$A$218,0)),""))</f>
        <v/>
      </c>
      <c r="F475" s="12"/>
      <c r="G475" s="12"/>
      <c r="H475" s="12"/>
      <c r="I475" s="12"/>
      <c r="J475" s="12"/>
      <c r="K475" s="19"/>
      <c r="L475" s="12"/>
      <c r="M475" s="11" t="str">
        <f aca="false">IF(L475="","",IFERROR(INDEX(Prioridade_SLA!$B$2:$B$5,MATCH(L475,Prioridade_SLA!$A$2:$A$5,0)),""))</f>
        <v/>
      </c>
      <c r="N475" s="16" t="str">
        <f aca="false">IF(OR(B475="",M475=""),"",B475+M475/24)</f>
        <v/>
      </c>
      <c r="O475" s="12"/>
      <c r="P475" s="12"/>
      <c r="Q475" s="18"/>
      <c r="R475" s="17" t="str">
        <f aca="false">IF(OR(B475="",Q475=""),"",(Q475-B475)*24)</f>
        <v/>
      </c>
      <c r="S475" s="11" t="str">
        <f aca="false">IF(OR(N475="",Q475=""),"",IF(Q475&lt;=N475,"Sim","Não"))</f>
        <v/>
      </c>
      <c r="T475" s="19"/>
      <c r="U475" s="12"/>
      <c r="V475" s="12"/>
    </row>
    <row r="476" customFormat="false" ht="15" hidden="false" customHeight="false" outlineLevel="0" collapsed="false">
      <c r="A476" s="12"/>
      <c r="B476" s="18"/>
      <c r="C476" s="12"/>
      <c r="D476" s="11" t="str">
        <f aca="false">IF(C476="","",IFERROR(INDEX(Unidades!$B$2:$B$218,MATCH(C476,Unidades!$A$2:$A$218,0)),"Código não encontrado"))</f>
        <v/>
      </c>
      <c r="E476" s="11" t="str">
        <f aca="false">IF(C476="","",IFERROR(INDEX(Unidades!$C$2:$C$218,MATCH(C476,Unidades!$A$2:$A$218,0)),""))</f>
        <v/>
      </c>
      <c r="F476" s="12"/>
      <c r="G476" s="12"/>
      <c r="H476" s="12"/>
      <c r="I476" s="12"/>
      <c r="J476" s="12"/>
      <c r="K476" s="19"/>
      <c r="L476" s="12"/>
      <c r="M476" s="11" t="str">
        <f aca="false">IF(L476="","",IFERROR(INDEX(Prioridade_SLA!$B$2:$B$5,MATCH(L476,Prioridade_SLA!$A$2:$A$5,0)),""))</f>
        <v/>
      </c>
      <c r="N476" s="16" t="str">
        <f aca="false">IF(OR(B476="",M476=""),"",B476+M476/24)</f>
        <v/>
      </c>
      <c r="O476" s="12"/>
      <c r="P476" s="12"/>
      <c r="Q476" s="18"/>
      <c r="R476" s="17" t="str">
        <f aca="false">IF(OR(B476="",Q476=""),"",(Q476-B476)*24)</f>
        <v/>
      </c>
      <c r="S476" s="11" t="str">
        <f aca="false">IF(OR(N476="",Q476=""),"",IF(Q476&lt;=N476,"Sim","Não"))</f>
        <v/>
      </c>
      <c r="T476" s="19"/>
      <c r="U476" s="12"/>
      <c r="V476" s="12"/>
    </row>
    <row r="477" customFormat="false" ht="15" hidden="false" customHeight="false" outlineLevel="0" collapsed="false">
      <c r="A477" s="12"/>
      <c r="B477" s="18"/>
      <c r="C477" s="12"/>
      <c r="D477" s="11" t="str">
        <f aca="false">IF(C477="","",IFERROR(INDEX(Unidades!$B$2:$B$218,MATCH(C477,Unidades!$A$2:$A$218,0)),"Código não encontrado"))</f>
        <v/>
      </c>
      <c r="E477" s="11" t="str">
        <f aca="false">IF(C477="","",IFERROR(INDEX(Unidades!$C$2:$C$218,MATCH(C477,Unidades!$A$2:$A$218,0)),""))</f>
        <v/>
      </c>
      <c r="F477" s="12"/>
      <c r="G477" s="12"/>
      <c r="H477" s="12"/>
      <c r="I477" s="12"/>
      <c r="J477" s="12"/>
      <c r="K477" s="19"/>
      <c r="L477" s="12"/>
      <c r="M477" s="11" t="str">
        <f aca="false">IF(L477="","",IFERROR(INDEX(Prioridade_SLA!$B$2:$B$5,MATCH(L477,Prioridade_SLA!$A$2:$A$5,0)),""))</f>
        <v/>
      </c>
      <c r="N477" s="16" t="str">
        <f aca="false">IF(OR(B477="",M477=""),"",B477+M477/24)</f>
        <v/>
      </c>
      <c r="O477" s="12"/>
      <c r="P477" s="12"/>
      <c r="Q477" s="18"/>
      <c r="R477" s="17" t="str">
        <f aca="false">IF(OR(B477="",Q477=""),"",(Q477-B477)*24)</f>
        <v/>
      </c>
      <c r="S477" s="11" t="str">
        <f aca="false">IF(OR(N477="",Q477=""),"",IF(Q477&lt;=N477,"Sim","Não"))</f>
        <v/>
      </c>
      <c r="T477" s="19"/>
      <c r="U477" s="12"/>
      <c r="V477" s="12"/>
    </row>
    <row r="478" customFormat="false" ht="15" hidden="false" customHeight="false" outlineLevel="0" collapsed="false">
      <c r="A478" s="12"/>
      <c r="B478" s="18"/>
      <c r="C478" s="12"/>
      <c r="D478" s="11" t="str">
        <f aca="false">IF(C478="","",IFERROR(INDEX(Unidades!$B$2:$B$218,MATCH(C478,Unidades!$A$2:$A$218,0)),"Código não encontrado"))</f>
        <v/>
      </c>
      <c r="E478" s="11" t="str">
        <f aca="false">IF(C478="","",IFERROR(INDEX(Unidades!$C$2:$C$218,MATCH(C478,Unidades!$A$2:$A$218,0)),""))</f>
        <v/>
      </c>
      <c r="F478" s="12"/>
      <c r="G478" s="12"/>
      <c r="H478" s="12"/>
      <c r="I478" s="12"/>
      <c r="J478" s="12"/>
      <c r="K478" s="19"/>
      <c r="L478" s="12"/>
      <c r="M478" s="11" t="str">
        <f aca="false">IF(L478="","",IFERROR(INDEX(Prioridade_SLA!$B$2:$B$5,MATCH(L478,Prioridade_SLA!$A$2:$A$5,0)),""))</f>
        <v/>
      </c>
      <c r="N478" s="16" t="str">
        <f aca="false">IF(OR(B478="",M478=""),"",B478+M478/24)</f>
        <v/>
      </c>
      <c r="O478" s="12"/>
      <c r="P478" s="12"/>
      <c r="Q478" s="18"/>
      <c r="R478" s="17" t="str">
        <f aca="false">IF(OR(B478="",Q478=""),"",(Q478-B478)*24)</f>
        <v/>
      </c>
      <c r="S478" s="11" t="str">
        <f aca="false">IF(OR(N478="",Q478=""),"",IF(Q478&lt;=N478,"Sim","Não"))</f>
        <v/>
      </c>
      <c r="T478" s="19"/>
      <c r="U478" s="12"/>
      <c r="V478" s="12"/>
    </row>
    <row r="479" customFormat="false" ht="15" hidden="false" customHeight="false" outlineLevel="0" collapsed="false">
      <c r="A479" s="12"/>
      <c r="B479" s="18"/>
      <c r="C479" s="12"/>
      <c r="D479" s="11" t="str">
        <f aca="false">IF(C479="","",IFERROR(INDEX(Unidades!$B$2:$B$218,MATCH(C479,Unidades!$A$2:$A$218,0)),"Código não encontrado"))</f>
        <v/>
      </c>
      <c r="E479" s="11" t="str">
        <f aca="false">IF(C479="","",IFERROR(INDEX(Unidades!$C$2:$C$218,MATCH(C479,Unidades!$A$2:$A$218,0)),""))</f>
        <v/>
      </c>
      <c r="F479" s="12"/>
      <c r="G479" s="12"/>
      <c r="H479" s="12"/>
      <c r="I479" s="12"/>
      <c r="J479" s="12"/>
      <c r="K479" s="19"/>
      <c r="L479" s="12"/>
      <c r="M479" s="11" t="str">
        <f aca="false">IF(L479="","",IFERROR(INDEX(Prioridade_SLA!$B$2:$B$5,MATCH(L479,Prioridade_SLA!$A$2:$A$5,0)),""))</f>
        <v/>
      </c>
      <c r="N479" s="16" t="str">
        <f aca="false">IF(OR(B479="",M479=""),"",B479+M479/24)</f>
        <v/>
      </c>
      <c r="O479" s="12"/>
      <c r="P479" s="12"/>
      <c r="Q479" s="18"/>
      <c r="R479" s="17" t="str">
        <f aca="false">IF(OR(B479="",Q479=""),"",(Q479-B479)*24)</f>
        <v/>
      </c>
      <c r="S479" s="11" t="str">
        <f aca="false">IF(OR(N479="",Q479=""),"",IF(Q479&lt;=N479,"Sim","Não"))</f>
        <v/>
      </c>
      <c r="T479" s="19"/>
      <c r="U479" s="12"/>
      <c r="V479" s="12"/>
    </row>
    <row r="480" customFormat="false" ht="15" hidden="false" customHeight="false" outlineLevel="0" collapsed="false">
      <c r="A480" s="12"/>
      <c r="B480" s="18"/>
      <c r="C480" s="12"/>
      <c r="D480" s="11" t="str">
        <f aca="false">IF(C480="","",IFERROR(INDEX(Unidades!$B$2:$B$218,MATCH(C480,Unidades!$A$2:$A$218,0)),"Código não encontrado"))</f>
        <v/>
      </c>
      <c r="E480" s="11" t="str">
        <f aca="false">IF(C480="","",IFERROR(INDEX(Unidades!$C$2:$C$218,MATCH(C480,Unidades!$A$2:$A$218,0)),""))</f>
        <v/>
      </c>
      <c r="F480" s="12"/>
      <c r="G480" s="12"/>
      <c r="H480" s="12"/>
      <c r="I480" s="12"/>
      <c r="J480" s="12"/>
      <c r="K480" s="19"/>
      <c r="L480" s="12"/>
      <c r="M480" s="11" t="str">
        <f aca="false">IF(L480="","",IFERROR(INDEX(Prioridade_SLA!$B$2:$B$5,MATCH(L480,Prioridade_SLA!$A$2:$A$5,0)),""))</f>
        <v/>
      </c>
      <c r="N480" s="16" t="str">
        <f aca="false">IF(OR(B480="",M480=""),"",B480+M480/24)</f>
        <v/>
      </c>
      <c r="O480" s="12"/>
      <c r="P480" s="12"/>
      <c r="Q480" s="18"/>
      <c r="R480" s="17" t="str">
        <f aca="false">IF(OR(B480="",Q480=""),"",(Q480-B480)*24)</f>
        <v/>
      </c>
      <c r="S480" s="11" t="str">
        <f aca="false">IF(OR(N480="",Q480=""),"",IF(Q480&lt;=N480,"Sim","Não"))</f>
        <v/>
      </c>
      <c r="T480" s="19"/>
      <c r="U480" s="12"/>
      <c r="V480" s="12"/>
    </row>
    <row r="481" customFormat="false" ht="15" hidden="false" customHeight="false" outlineLevel="0" collapsed="false">
      <c r="A481" s="12"/>
      <c r="B481" s="18"/>
      <c r="C481" s="12"/>
      <c r="D481" s="11" t="str">
        <f aca="false">IF(C481="","",IFERROR(INDEX(Unidades!$B$2:$B$218,MATCH(C481,Unidades!$A$2:$A$218,0)),"Código não encontrado"))</f>
        <v/>
      </c>
      <c r="E481" s="11" t="str">
        <f aca="false">IF(C481="","",IFERROR(INDEX(Unidades!$C$2:$C$218,MATCH(C481,Unidades!$A$2:$A$218,0)),""))</f>
        <v/>
      </c>
      <c r="F481" s="12"/>
      <c r="G481" s="12"/>
      <c r="H481" s="12"/>
      <c r="I481" s="12"/>
      <c r="J481" s="12"/>
      <c r="K481" s="19"/>
      <c r="L481" s="12"/>
      <c r="M481" s="11" t="str">
        <f aca="false">IF(L481="","",IFERROR(INDEX(Prioridade_SLA!$B$2:$B$5,MATCH(L481,Prioridade_SLA!$A$2:$A$5,0)),""))</f>
        <v/>
      </c>
      <c r="N481" s="16" t="str">
        <f aca="false">IF(OR(B481="",M481=""),"",B481+M481/24)</f>
        <v/>
      </c>
      <c r="O481" s="12"/>
      <c r="P481" s="12"/>
      <c r="Q481" s="18"/>
      <c r="R481" s="17" t="str">
        <f aca="false">IF(OR(B481="",Q481=""),"",(Q481-B481)*24)</f>
        <v/>
      </c>
      <c r="S481" s="11" t="str">
        <f aca="false">IF(OR(N481="",Q481=""),"",IF(Q481&lt;=N481,"Sim","Não"))</f>
        <v/>
      </c>
      <c r="T481" s="19"/>
      <c r="U481" s="12"/>
      <c r="V481" s="12"/>
    </row>
    <row r="482" customFormat="false" ht="15" hidden="false" customHeight="false" outlineLevel="0" collapsed="false">
      <c r="A482" s="12"/>
      <c r="B482" s="18"/>
      <c r="C482" s="12"/>
      <c r="D482" s="11" t="str">
        <f aca="false">IF(C482="","",IFERROR(INDEX(Unidades!$B$2:$B$218,MATCH(C482,Unidades!$A$2:$A$218,0)),"Código não encontrado"))</f>
        <v/>
      </c>
      <c r="E482" s="11" t="str">
        <f aca="false">IF(C482="","",IFERROR(INDEX(Unidades!$C$2:$C$218,MATCH(C482,Unidades!$A$2:$A$218,0)),""))</f>
        <v/>
      </c>
      <c r="F482" s="12"/>
      <c r="G482" s="12"/>
      <c r="H482" s="12"/>
      <c r="I482" s="12"/>
      <c r="J482" s="12"/>
      <c r="K482" s="19"/>
      <c r="L482" s="12"/>
      <c r="M482" s="11" t="str">
        <f aca="false">IF(L482="","",IFERROR(INDEX(Prioridade_SLA!$B$2:$B$5,MATCH(L482,Prioridade_SLA!$A$2:$A$5,0)),""))</f>
        <v/>
      </c>
      <c r="N482" s="16" t="str">
        <f aca="false">IF(OR(B482="",M482=""),"",B482+M482/24)</f>
        <v/>
      </c>
      <c r="O482" s="12"/>
      <c r="P482" s="12"/>
      <c r="Q482" s="18"/>
      <c r="R482" s="17" t="str">
        <f aca="false">IF(OR(B482="",Q482=""),"",(Q482-B482)*24)</f>
        <v/>
      </c>
      <c r="S482" s="11" t="str">
        <f aca="false">IF(OR(N482="",Q482=""),"",IF(Q482&lt;=N482,"Sim","Não"))</f>
        <v/>
      </c>
      <c r="T482" s="19"/>
      <c r="U482" s="12"/>
      <c r="V482" s="12"/>
    </row>
    <row r="483" customFormat="false" ht="15" hidden="false" customHeight="false" outlineLevel="0" collapsed="false">
      <c r="A483" s="12"/>
      <c r="B483" s="18"/>
      <c r="C483" s="12"/>
      <c r="D483" s="11" t="str">
        <f aca="false">IF(C483="","",IFERROR(INDEX(Unidades!$B$2:$B$218,MATCH(C483,Unidades!$A$2:$A$218,0)),"Código não encontrado"))</f>
        <v/>
      </c>
      <c r="E483" s="11" t="str">
        <f aca="false">IF(C483="","",IFERROR(INDEX(Unidades!$C$2:$C$218,MATCH(C483,Unidades!$A$2:$A$218,0)),""))</f>
        <v/>
      </c>
      <c r="F483" s="12"/>
      <c r="G483" s="12"/>
      <c r="H483" s="12"/>
      <c r="I483" s="12"/>
      <c r="J483" s="12"/>
      <c r="K483" s="19"/>
      <c r="L483" s="12"/>
      <c r="M483" s="11" t="str">
        <f aca="false">IF(L483="","",IFERROR(INDEX(Prioridade_SLA!$B$2:$B$5,MATCH(L483,Prioridade_SLA!$A$2:$A$5,0)),""))</f>
        <v/>
      </c>
      <c r="N483" s="16" t="str">
        <f aca="false">IF(OR(B483="",M483=""),"",B483+M483/24)</f>
        <v/>
      </c>
      <c r="O483" s="12"/>
      <c r="P483" s="12"/>
      <c r="Q483" s="18"/>
      <c r="R483" s="17" t="str">
        <f aca="false">IF(OR(B483="",Q483=""),"",(Q483-B483)*24)</f>
        <v/>
      </c>
      <c r="S483" s="11" t="str">
        <f aca="false">IF(OR(N483="",Q483=""),"",IF(Q483&lt;=N483,"Sim","Não"))</f>
        <v/>
      </c>
      <c r="T483" s="19"/>
      <c r="U483" s="12"/>
      <c r="V483" s="12"/>
    </row>
    <row r="484" customFormat="false" ht="15" hidden="false" customHeight="false" outlineLevel="0" collapsed="false">
      <c r="A484" s="12"/>
      <c r="B484" s="18"/>
      <c r="C484" s="12"/>
      <c r="D484" s="11" t="str">
        <f aca="false">IF(C484="","",IFERROR(INDEX(Unidades!$B$2:$B$218,MATCH(C484,Unidades!$A$2:$A$218,0)),"Código não encontrado"))</f>
        <v/>
      </c>
      <c r="E484" s="11" t="str">
        <f aca="false">IF(C484="","",IFERROR(INDEX(Unidades!$C$2:$C$218,MATCH(C484,Unidades!$A$2:$A$218,0)),""))</f>
        <v/>
      </c>
      <c r="F484" s="12"/>
      <c r="G484" s="12"/>
      <c r="H484" s="12"/>
      <c r="I484" s="12"/>
      <c r="J484" s="12"/>
      <c r="K484" s="19"/>
      <c r="L484" s="12"/>
      <c r="M484" s="11" t="str">
        <f aca="false">IF(L484="","",IFERROR(INDEX(Prioridade_SLA!$B$2:$B$5,MATCH(L484,Prioridade_SLA!$A$2:$A$5,0)),""))</f>
        <v/>
      </c>
      <c r="N484" s="16" t="str">
        <f aca="false">IF(OR(B484="",M484=""),"",B484+M484/24)</f>
        <v/>
      </c>
      <c r="O484" s="12"/>
      <c r="P484" s="12"/>
      <c r="Q484" s="18"/>
      <c r="R484" s="17" t="str">
        <f aca="false">IF(OR(B484="",Q484=""),"",(Q484-B484)*24)</f>
        <v/>
      </c>
      <c r="S484" s="11" t="str">
        <f aca="false">IF(OR(N484="",Q484=""),"",IF(Q484&lt;=N484,"Sim","Não"))</f>
        <v/>
      </c>
      <c r="T484" s="19"/>
      <c r="U484" s="12"/>
      <c r="V484" s="12"/>
    </row>
    <row r="485" customFormat="false" ht="15" hidden="false" customHeight="false" outlineLevel="0" collapsed="false">
      <c r="A485" s="12"/>
      <c r="B485" s="18"/>
      <c r="C485" s="12"/>
      <c r="D485" s="11" t="str">
        <f aca="false">IF(C485="","",IFERROR(INDEX(Unidades!$B$2:$B$218,MATCH(C485,Unidades!$A$2:$A$218,0)),"Código não encontrado"))</f>
        <v/>
      </c>
      <c r="E485" s="11" t="str">
        <f aca="false">IF(C485="","",IFERROR(INDEX(Unidades!$C$2:$C$218,MATCH(C485,Unidades!$A$2:$A$218,0)),""))</f>
        <v/>
      </c>
      <c r="F485" s="12"/>
      <c r="G485" s="12"/>
      <c r="H485" s="12"/>
      <c r="I485" s="12"/>
      <c r="J485" s="12"/>
      <c r="K485" s="19"/>
      <c r="L485" s="12"/>
      <c r="M485" s="11" t="str">
        <f aca="false">IF(L485="","",IFERROR(INDEX(Prioridade_SLA!$B$2:$B$5,MATCH(L485,Prioridade_SLA!$A$2:$A$5,0)),""))</f>
        <v/>
      </c>
      <c r="N485" s="16" t="str">
        <f aca="false">IF(OR(B485="",M485=""),"",B485+M485/24)</f>
        <v/>
      </c>
      <c r="O485" s="12"/>
      <c r="P485" s="12"/>
      <c r="Q485" s="18"/>
      <c r="R485" s="17" t="str">
        <f aca="false">IF(OR(B485="",Q485=""),"",(Q485-B485)*24)</f>
        <v/>
      </c>
      <c r="S485" s="11" t="str">
        <f aca="false">IF(OR(N485="",Q485=""),"",IF(Q485&lt;=N485,"Sim","Não"))</f>
        <v/>
      </c>
      <c r="T485" s="19"/>
      <c r="U485" s="12"/>
      <c r="V485" s="12"/>
    </row>
    <row r="486" customFormat="false" ht="15" hidden="false" customHeight="false" outlineLevel="0" collapsed="false">
      <c r="A486" s="12"/>
      <c r="B486" s="18"/>
      <c r="C486" s="12"/>
      <c r="D486" s="11" t="str">
        <f aca="false">IF(C486="","",IFERROR(INDEX(Unidades!$B$2:$B$218,MATCH(C486,Unidades!$A$2:$A$218,0)),"Código não encontrado"))</f>
        <v/>
      </c>
      <c r="E486" s="11" t="str">
        <f aca="false">IF(C486="","",IFERROR(INDEX(Unidades!$C$2:$C$218,MATCH(C486,Unidades!$A$2:$A$218,0)),""))</f>
        <v/>
      </c>
      <c r="F486" s="12"/>
      <c r="G486" s="12"/>
      <c r="H486" s="12"/>
      <c r="I486" s="12"/>
      <c r="J486" s="12"/>
      <c r="K486" s="19"/>
      <c r="L486" s="12"/>
      <c r="M486" s="11" t="str">
        <f aca="false">IF(L486="","",IFERROR(INDEX(Prioridade_SLA!$B$2:$B$5,MATCH(L486,Prioridade_SLA!$A$2:$A$5,0)),""))</f>
        <v/>
      </c>
      <c r="N486" s="16" t="str">
        <f aca="false">IF(OR(B486="",M486=""),"",B486+M486/24)</f>
        <v/>
      </c>
      <c r="O486" s="12"/>
      <c r="P486" s="12"/>
      <c r="Q486" s="18"/>
      <c r="R486" s="17" t="str">
        <f aca="false">IF(OR(B486="",Q486=""),"",(Q486-B486)*24)</f>
        <v/>
      </c>
      <c r="S486" s="11" t="str">
        <f aca="false">IF(OR(N486="",Q486=""),"",IF(Q486&lt;=N486,"Sim","Não"))</f>
        <v/>
      </c>
      <c r="T486" s="19"/>
      <c r="U486" s="12"/>
      <c r="V486" s="12"/>
    </row>
    <row r="487" customFormat="false" ht="15" hidden="false" customHeight="false" outlineLevel="0" collapsed="false">
      <c r="A487" s="12"/>
      <c r="B487" s="18"/>
      <c r="C487" s="12"/>
      <c r="D487" s="11" t="str">
        <f aca="false">IF(C487="","",IFERROR(INDEX(Unidades!$B$2:$B$218,MATCH(C487,Unidades!$A$2:$A$218,0)),"Código não encontrado"))</f>
        <v/>
      </c>
      <c r="E487" s="11" t="str">
        <f aca="false">IF(C487="","",IFERROR(INDEX(Unidades!$C$2:$C$218,MATCH(C487,Unidades!$A$2:$A$218,0)),""))</f>
        <v/>
      </c>
      <c r="F487" s="12"/>
      <c r="G487" s="12"/>
      <c r="H487" s="12"/>
      <c r="I487" s="12"/>
      <c r="J487" s="12"/>
      <c r="K487" s="19"/>
      <c r="L487" s="12"/>
      <c r="M487" s="11" t="str">
        <f aca="false">IF(L487="","",IFERROR(INDEX(Prioridade_SLA!$B$2:$B$5,MATCH(L487,Prioridade_SLA!$A$2:$A$5,0)),""))</f>
        <v/>
      </c>
      <c r="N487" s="16" t="str">
        <f aca="false">IF(OR(B487="",M487=""),"",B487+M487/24)</f>
        <v/>
      </c>
      <c r="O487" s="12"/>
      <c r="P487" s="12"/>
      <c r="Q487" s="18"/>
      <c r="R487" s="17" t="str">
        <f aca="false">IF(OR(B487="",Q487=""),"",(Q487-B487)*24)</f>
        <v/>
      </c>
      <c r="S487" s="11" t="str">
        <f aca="false">IF(OR(N487="",Q487=""),"",IF(Q487&lt;=N487,"Sim","Não"))</f>
        <v/>
      </c>
      <c r="T487" s="19"/>
      <c r="U487" s="12"/>
      <c r="V487" s="12"/>
    </row>
    <row r="488" customFormat="false" ht="15" hidden="false" customHeight="false" outlineLevel="0" collapsed="false">
      <c r="A488" s="12"/>
      <c r="B488" s="18"/>
      <c r="C488" s="12"/>
      <c r="D488" s="11" t="str">
        <f aca="false">IF(C488="","",IFERROR(INDEX(Unidades!$B$2:$B$218,MATCH(C488,Unidades!$A$2:$A$218,0)),"Código não encontrado"))</f>
        <v/>
      </c>
      <c r="E488" s="11" t="str">
        <f aca="false">IF(C488="","",IFERROR(INDEX(Unidades!$C$2:$C$218,MATCH(C488,Unidades!$A$2:$A$218,0)),""))</f>
        <v/>
      </c>
      <c r="F488" s="12"/>
      <c r="G488" s="12"/>
      <c r="H488" s="12"/>
      <c r="I488" s="12"/>
      <c r="J488" s="12"/>
      <c r="K488" s="19"/>
      <c r="L488" s="12"/>
      <c r="M488" s="11" t="str">
        <f aca="false">IF(L488="","",IFERROR(INDEX(Prioridade_SLA!$B$2:$B$5,MATCH(L488,Prioridade_SLA!$A$2:$A$5,0)),""))</f>
        <v/>
      </c>
      <c r="N488" s="16" t="str">
        <f aca="false">IF(OR(B488="",M488=""),"",B488+M488/24)</f>
        <v/>
      </c>
      <c r="O488" s="12"/>
      <c r="P488" s="12"/>
      <c r="Q488" s="18"/>
      <c r="R488" s="17" t="str">
        <f aca="false">IF(OR(B488="",Q488=""),"",(Q488-B488)*24)</f>
        <v/>
      </c>
      <c r="S488" s="11" t="str">
        <f aca="false">IF(OR(N488="",Q488=""),"",IF(Q488&lt;=N488,"Sim","Não"))</f>
        <v/>
      </c>
      <c r="T488" s="19"/>
      <c r="U488" s="12"/>
      <c r="V488" s="12"/>
    </row>
    <row r="489" customFormat="false" ht="15" hidden="false" customHeight="false" outlineLevel="0" collapsed="false">
      <c r="A489" s="12"/>
      <c r="B489" s="18"/>
      <c r="C489" s="12"/>
      <c r="D489" s="11" t="str">
        <f aca="false">IF(C489="","",IFERROR(INDEX(Unidades!$B$2:$B$218,MATCH(C489,Unidades!$A$2:$A$218,0)),"Código não encontrado"))</f>
        <v/>
      </c>
      <c r="E489" s="11" t="str">
        <f aca="false">IF(C489="","",IFERROR(INDEX(Unidades!$C$2:$C$218,MATCH(C489,Unidades!$A$2:$A$218,0)),""))</f>
        <v/>
      </c>
      <c r="F489" s="12"/>
      <c r="G489" s="12"/>
      <c r="H489" s="12"/>
      <c r="I489" s="12"/>
      <c r="J489" s="12"/>
      <c r="K489" s="19"/>
      <c r="L489" s="12"/>
      <c r="M489" s="11" t="str">
        <f aca="false">IF(L489="","",IFERROR(INDEX(Prioridade_SLA!$B$2:$B$5,MATCH(L489,Prioridade_SLA!$A$2:$A$5,0)),""))</f>
        <v/>
      </c>
      <c r="N489" s="16" t="str">
        <f aca="false">IF(OR(B489="",M489=""),"",B489+M489/24)</f>
        <v/>
      </c>
      <c r="O489" s="12"/>
      <c r="P489" s="12"/>
      <c r="Q489" s="18"/>
      <c r="R489" s="17" t="str">
        <f aca="false">IF(OR(B489="",Q489=""),"",(Q489-B489)*24)</f>
        <v/>
      </c>
      <c r="S489" s="11" t="str">
        <f aca="false">IF(OR(N489="",Q489=""),"",IF(Q489&lt;=N489,"Sim","Não"))</f>
        <v/>
      </c>
      <c r="T489" s="19"/>
      <c r="U489" s="12"/>
      <c r="V489" s="12"/>
    </row>
    <row r="490" customFormat="false" ht="15" hidden="false" customHeight="false" outlineLevel="0" collapsed="false">
      <c r="A490" s="12"/>
      <c r="B490" s="18"/>
      <c r="C490" s="12"/>
      <c r="D490" s="11" t="str">
        <f aca="false">IF(C490="","",IFERROR(INDEX(Unidades!$B$2:$B$218,MATCH(C490,Unidades!$A$2:$A$218,0)),"Código não encontrado"))</f>
        <v/>
      </c>
      <c r="E490" s="11" t="str">
        <f aca="false">IF(C490="","",IFERROR(INDEX(Unidades!$C$2:$C$218,MATCH(C490,Unidades!$A$2:$A$218,0)),""))</f>
        <v/>
      </c>
      <c r="F490" s="12"/>
      <c r="G490" s="12"/>
      <c r="H490" s="12"/>
      <c r="I490" s="12"/>
      <c r="J490" s="12"/>
      <c r="K490" s="19"/>
      <c r="L490" s="12"/>
      <c r="M490" s="11" t="str">
        <f aca="false">IF(L490="","",IFERROR(INDEX(Prioridade_SLA!$B$2:$B$5,MATCH(L490,Prioridade_SLA!$A$2:$A$5,0)),""))</f>
        <v/>
      </c>
      <c r="N490" s="16" t="str">
        <f aca="false">IF(OR(B490="",M490=""),"",B490+M490/24)</f>
        <v/>
      </c>
      <c r="O490" s="12"/>
      <c r="P490" s="12"/>
      <c r="Q490" s="18"/>
      <c r="R490" s="17" t="str">
        <f aca="false">IF(OR(B490="",Q490=""),"",(Q490-B490)*24)</f>
        <v/>
      </c>
      <c r="S490" s="11" t="str">
        <f aca="false">IF(OR(N490="",Q490=""),"",IF(Q490&lt;=N490,"Sim","Não"))</f>
        <v/>
      </c>
      <c r="T490" s="19"/>
      <c r="U490" s="12"/>
      <c r="V490" s="12"/>
    </row>
    <row r="491" customFormat="false" ht="15" hidden="false" customHeight="false" outlineLevel="0" collapsed="false">
      <c r="A491" s="12"/>
      <c r="B491" s="18"/>
      <c r="C491" s="12"/>
      <c r="D491" s="11" t="str">
        <f aca="false">IF(C491="","",IFERROR(INDEX(Unidades!$B$2:$B$218,MATCH(C491,Unidades!$A$2:$A$218,0)),"Código não encontrado"))</f>
        <v/>
      </c>
      <c r="E491" s="11" t="str">
        <f aca="false">IF(C491="","",IFERROR(INDEX(Unidades!$C$2:$C$218,MATCH(C491,Unidades!$A$2:$A$218,0)),""))</f>
        <v/>
      </c>
      <c r="F491" s="12"/>
      <c r="G491" s="12"/>
      <c r="H491" s="12"/>
      <c r="I491" s="12"/>
      <c r="J491" s="12"/>
      <c r="K491" s="19"/>
      <c r="L491" s="12"/>
      <c r="M491" s="11" t="str">
        <f aca="false">IF(L491="","",IFERROR(INDEX(Prioridade_SLA!$B$2:$B$5,MATCH(L491,Prioridade_SLA!$A$2:$A$5,0)),""))</f>
        <v/>
      </c>
      <c r="N491" s="16" t="str">
        <f aca="false">IF(OR(B491="",M491=""),"",B491+M491/24)</f>
        <v/>
      </c>
      <c r="O491" s="12"/>
      <c r="P491" s="12"/>
      <c r="Q491" s="18"/>
      <c r="R491" s="17" t="str">
        <f aca="false">IF(OR(B491="",Q491=""),"",(Q491-B491)*24)</f>
        <v/>
      </c>
      <c r="S491" s="11" t="str">
        <f aca="false">IF(OR(N491="",Q491=""),"",IF(Q491&lt;=N491,"Sim","Não"))</f>
        <v/>
      </c>
      <c r="T491" s="19"/>
      <c r="U491" s="12"/>
      <c r="V491" s="12"/>
    </row>
    <row r="492" customFormat="false" ht="15" hidden="false" customHeight="false" outlineLevel="0" collapsed="false">
      <c r="A492" s="12"/>
      <c r="B492" s="18"/>
      <c r="C492" s="12"/>
      <c r="D492" s="11" t="str">
        <f aca="false">IF(C492="","",IFERROR(INDEX(Unidades!$B$2:$B$218,MATCH(C492,Unidades!$A$2:$A$218,0)),"Código não encontrado"))</f>
        <v/>
      </c>
      <c r="E492" s="11" t="str">
        <f aca="false">IF(C492="","",IFERROR(INDEX(Unidades!$C$2:$C$218,MATCH(C492,Unidades!$A$2:$A$218,0)),""))</f>
        <v/>
      </c>
      <c r="F492" s="12"/>
      <c r="G492" s="12"/>
      <c r="H492" s="12"/>
      <c r="I492" s="12"/>
      <c r="J492" s="12"/>
      <c r="K492" s="19"/>
      <c r="L492" s="12"/>
      <c r="M492" s="11" t="str">
        <f aca="false">IF(L492="","",IFERROR(INDEX(Prioridade_SLA!$B$2:$B$5,MATCH(L492,Prioridade_SLA!$A$2:$A$5,0)),""))</f>
        <v/>
      </c>
      <c r="N492" s="16" t="str">
        <f aca="false">IF(OR(B492="",M492=""),"",B492+M492/24)</f>
        <v/>
      </c>
      <c r="O492" s="12"/>
      <c r="P492" s="12"/>
      <c r="Q492" s="18"/>
      <c r="R492" s="17" t="str">
        <f aca="false">IF(OR(B492="",Q492=""),"",(Q492-B492)*24)</f>
        <v/>
      </c>
      <c r="S492" s="11" t="str">
        <f aca="false">IF(OR(N492="",Q492=""),"",IF(Q492&lt;=N492,"Sim","Não"))</f>
        <v/>
      </c>
      <c r="T492" s="19"/>
      <c r="U492" s="12"/>
      <c r="V492" s="12"/>
    </row>
    <row r="493" customFormat="false" ht="15" hidden="false" customHeight="false" outlineLevel="0" collapsed="false">
      <c r="A493" s="12"/>
      <c r="B493" s="18"/>
      <c r="C493" s="12"/>
      <c r="D493" s="11" t="str">
        <f aca="false">IF(C493="","",IFERROR(INDEX(Unidades!$B$2:$B$218,MATCH(C493,Unidades!$A$2:$A$218,0)),"Código não encontrado"))</f>
        <v/>
      </c>
      <c r="E493" s="11" t="str">
        <f aca="false">IF(C493="","",IFERROR(INDEX(Unidades!$C$2:$C$218,MATCH(C493,Unidades!$A$2:$A$218,0)),""))</f>
        <v/>
      </c>
      <c r="F493" s="12"/>
      <c r="G493" s="12"/>
      <c r="H493" s="12"/>
      <c r="I493" s="12"/>
      <c r="J493" s="12"/>
      <c r="K493" s="19"/>
      <c r="L493" s="12"/>
      <c r="M493" s="11" t="str">
        <f aca="false">IF(L493="","",IFERROR(INDEX(Prioridade_SLA!$B$2:$B$5,MATCH(L493,Prioridade_SLA!$A$2:$A$5,0)),""))</f>
        <v/>
      </c>
      <c r="N493" s="16" t="str">
        <f aca="false">IF(OR(B493="",M493=""),"",B493+M493/24)</f>
        <v/>
      </c>
      <c r="O493" s="12"/>
      <c r="P493" s="12"/>
      <c r="Q493" s="18"/>
      <c r="R493" s="17" t="str">
        <f aca="false">IF(OR(B493="",Q493=""),"",(Q493-B493)*24)</f>
        <v/>
      </c>
      <c r="S493" s="11" t="str">
        <f aca="false">IF(OR(N493="",Q493=""),"",IF(Q493&lt;=N493,"Sim","Não"))</f>
        <v/>
      </c>
      <c r="T493" s="19"/>
      <c r="U493" s="12"/>
      <c r="V493" s="12"/>
    </row>
    <row r="494" customFormat="false" ht="15" hidden="false" customHeight="false" outlineLevel="0" collapsed="false">
      <c r="A494" s="12"/>
      <c r="B494" s="18"/>
      <c r="C494" s="12"/>
      <c r="D494" s="11" t="str">
        <f aca="false">IF(C494="","",IFERROR(INDEX(Unidades!$B$2:$B$218,MATCH(C494,Unidades!$A$2:$A$218,0)),"Código não encontrado"))</f>
        <v/>
      </c>
      <c r="E494" s="11" t="str">
        <f aca="false">IF(C494="","",IFERROR(INDEX(Unidades!$C$2:$C$218,MATCH(C494,Unidades!$A$2:$A$218,0)),""))</f>
        <v/>
      </c>
      <c r="F494" s="12"/>
      <c r="G494" s="12"/>
      <c r="H494" s="12"/>
      <c r="I494" s="12"/>
      <c r="J494" s="12"/>
      <c r="K494" s="19"/>
      <c r="L494" s="12"/>
      <c r="M494" s="11" t="str">
        <f aca="false">IF(L494="","",IFERROR(INDEX(Prioridade_SLA!$B$2:$B$5,MATCH(L494,Prioridade_SLA!$A$2:$A$5,0)),""))</f>
        <v/>
      </c>
      <c r="N494" s="16" t="str">
        <f aca="false">IF(OR(B494="",M494=""),"",B494+M494/24)</f>
        <v/>
      </c>
      <c r="O494" s="12"/>
      <c r="P494" s="12"/>
      <c r="Q494" s="18"/>
      <c r="R494" s="17" t="str">
        <f aca="false">IF(OR(B494="",Q494=""),"",(Q494-B494)*24)</f>
        <v/>
      </c>
      <c r="S494" s="11" t="str">
        <f aca="false">IF(OR(N494="",Q494=""),"",IF(Q494&lt;=N494,"Sim","Não"))</f>
        <v/>
      </c>
      <c r="T494" s="19"/>
      <c r="U494" s="12"/>
      <c r="V494" s="12"/>
    </row>
    <row r="495" customFormat="false" ht="15" hidden="false" customHeight="false" outlineLevel="0" collapsed="false">
      <c r="A495" s="12"/>
      <c r="B495" s="18"/>
      <c r="C495" s="12"/>
      <c r="D495" s="11" t="str">
        <f aca="false">IF(C495="","",IFERROR(INDEX(Unidades!$B$2:$B$218,MATCH(C495,Unidades!$A$2:$A$218,0)),"Código não encontrado"))</f>
        <v/>
      </c>
      <c r="E495" s="11" t="str">
        <f aca="false">IF(C495="","",IFERROR(INDEX(Unidades!$C$2:$C$218,MATCH(C495,Unidades!$A$2:$A$218,0)),""))</f>
        <v/>
      </c>
      <c r="F495" s="12"/>
      <c r="G495" s="12"/>
      <c r="H495" s="12"/>
      <c r="I495" s="12"/>
      <c r="J495" s="12"/>
      <c r="K495" s="19"/>
      <c r="L495" s="12"/>
      <c r="M495" s="11" t="str">
        <f aca="false">IF(L495="","",IFERROR(INDEX(Prioridade_SLA!$B$2:$B$5,MATCH(L495,Prioridade_SLA!$A$2:$A$5,0)),""))</f>
        <v/>
      </c>
      <c r="N495" s="16" t="str">
        <f aca="false">IF(OR(B495="",M495=""),"",B495+M495/24)</f>
        <v/>
      </c>
      <c r="O495" s="12"/>
      <c r="P495" s="12"/>
      <c r="Q495" s="18"/>
      <c r="R495" s="17" t="str">
        <f aca="false">IF(OR(B495="",Q495=""),"",(Q495-B495)*24)</f>
        <v/>
      </c>
      <c r="S495" s="11" t="str">
        <f aca="false">IF(OR(N495="",Q495=""),"",IF(Q495&lt;=N495,"Sim","Não"))</f>
        <v/>
      </c>
      <c r="T495" s="19"/>
      <c r="U495" s="12"/>
      <c r="V495" s="12"/>
    </row>
    <row r="496" customFormat="false" ht="15" hidden="false" customHeight="false" outlineLevel="0" collapsed="false">
      <c r="A496" s="12"/>
      <c r="B496" s="18"/>
      <c r="C496" s="12"/>
      <c r="D496" s="11" t="str">
        <f aca="false">IF(C496="","",IFERROR(INDEX(Unidades!$B$2:$B$218,MATCH(C496,Unidades!$A$2:$A$218,0)),"Código não encontrado"))</f>
        <v/>
      </c>
      <c r="E496" s="11" t="str">
        <f aca="false">IF(C496="","",IFERROR(INDEX(Unidades!$C$2:$C$218,MATCH(C496,Unidades!$A$2:$A$218,0)),""))</f>
        <v/>
      </c>
      <c r="F496" s="12"/>
      <c r="G496" s="12"/>
      <c r="H496" s="12"/>
      <c r="I496" s="12"/>
      <c r="J496" s="12"/>
      <c r="K496" s="19"/>
      <c r="L496" s="12"/>
      <c r="M496" s="11" t="str">
        <f aca="false">IF(L496="","",IFERROR(INDEX(Prioridade_SLA!$B$2:$B$5,MATCH(L496,Prioridade_SLA!$A$2:$A$5,0)),""))</f>
        <v/>
      </c>
      <c r="N496" s="16" t="str">
        <f aca="false">IF(OR(B496="",M496=""),"",B496+M496/24)</f>
        <v/>
      </c>
      <c r="O496" s="12"/>
      <c r="P496" s="12"/>
      <c r="Q496" s="18"/>
      <c r="R496" s="17" t="str">
        <f aca="false">IF(OR(B496="",Q496=""),"",(Q496-B496)*24)</f>
        <v/>
      </c>
      <c r="S496" s="11" t="str">
        <f aca="false">IF(OR(N496="",Q496=""),"",IF(Q496&lt;=N496,"Sim","Não"))</f>
        <v/>
      </c>
      <c r="T496" s="19"/>
      <c r="U496" s="12"/>
      <c r="V496" s="12"/>
    </row>
    <row r="497" customFormat="false" ht="15" hidden="false" customHeight="false" outlineLevel="0" collapsed="false">
      <c r="A497" s="12"/>
      <c r="B497" s="18"/>
      <c r="C497" s="12"/>
      <c r="D497" s="11" t="str">
        <f aca="false">IF(C497="","",IFERROR(INDEX(Unidades!$B$2:$B$218,MATCH(C497,Unidades!$A$2:$A$218,0)),"Código não encontrado"))</f>
        <v/>
      </c>
      <c r="E497" s="11" t="str">
        <f aca="false">IF(C497="","",IFERROR(INDEX(Unidades!$C$2:$C$218,MATCH(C497,Unidades!$A$2:$A$218,0)),""))</f>
        <v/>
      </c>
      <c r="F497" s="12"/>
      <c r="G497" s="12"/>
      <c r="H497" s="12"/>
      <c r="I497" s="12"/>
      <c r="J497" s="12"/>
      <c r="K497" s="19"/>
      <c r="L497" s="12"/>
      <c r="M497" s="11" t="str">
        <f aca="false">IF(L497="","",IFERROR(INDEX(Prioridade_SLA!$B$2:$B$5,MATCH(L497,Prioridade_SLA!$A$2:$A$5,0)),""))</f>
        <v/>
      </c>
      <c r="N497" s="16" t="str">
        <f aca="false">IF(OR(B497="",M497=""),"",B497+M497/24)</f>
        <v/>
      </c>
      <c r="O497" s="12"/>
      <c r="P497" s="12"/>
      <c r="Q497" s="18"/>
      <c r="R497" s="17" t="str">
        <f aca="false">IF(OR(B497="",Q497=""),"",(Q497-B497)*24)</f>
        <v/>
      </c>
      <c r="S497" s="11" t="str">
        <f aca="false">IF(OR(N497="",Q497=""),"",IF(Q497&lt;=N497,"Sim","Não"))</f>
        <v/>
      </c>
      <c r="T497" s="19"/>
      <c r="U497" s="12"/>
      <c r="V497" s="12"/>
    </row>
    <row r="498" customFormat="false" ht="15" hidden="false" customHeight="false" outlineLevel="0" collapsed="false">
      <c r="A498" s="12"/>
      <c r="B498" s="18"/>
      <c r="C498" s="12"/>
      <c r="D498" s="11" t="str">
        <f aca="false">IF(C498="","",IFERROR(INDEX(Unidades!$B$2:$B$218,MATCH(C498,Unidades!$A$2:$A$218,0)),"Código não encontrado"))</f>
        <v/>
      </c>
      <c r="E498" s="11" t="str">
        <f aca="false">IF(C498="","",IFERROR(INDEX(Unidades!$C$2:$C$218,MATCH(C498,Unidades!$A$2:$A$218,0)),""))</f>
        <v/>
      </c>
      <c r="F498" s="12"/>
      <c r="G498" s="12"/>
      <c r="H498" s="12"/>
      <c r="I498" s="12"/>
      <c r="J498" s="12"/>
      <c r="K498" s="19"/>
      <c r="L498" s="12"/>
      <c r="M498" s="11" t="str">
        <f aca="false">IF(L498="","",IFERROR(INDEX(Prioridade_SLA!$B$2:$B$5,MATCH(L498,Prioridade_SLA!$A$2:$A$5,0)),""))</f>
        <v/>
      </c>
      <c r="N498" s="16" t="str">
        <f aca="false">IF(OR(B498="",M498=""),"",B498+M498/24)</f>
        <v/>
      </c>
      <c r="O498" s="12"/>
      <c r="P498" s="12"/>
      <c r="Q498" s="18"/>
      <c r="R498" s="17" t="str">
        <f aca="false">IF(OR(B498="",Q498=""),"",(Q498-B498)*24)</f>
        <v/>
      </c>
      <c r="S498" s="11" t="str">
        <f aca="false">IF(OR(N498="",Q498=""),"",IF(Q498&lt;=N498,"Sim","Não"))</f>
        <v/>
      </c>
      <c r="T498" s="19"/>
      <c r="U498" s="12"/>
      <c r="V498" s="12"/>
    </row>
    <row r="499" customFormat="false" ht="15" hidden="false" customHeight="false" outlineLevel="0" collapsed="false">
      <c r="A499" s="12"/>
      <c r="B499" s="18"/>
      <c r="C499" s="12"/>
      <c r="D499" s="11" t="str">
        <f aca="false">IF(C499="","",IFERROR(INDEX(Unidades!$B$2:$B$218,MATCH(C499,Unidades!$A$2:$A$218,0)),"Código não encontrado"))</f>
        <v/>
      </c>
      <c r="E499" s="11" t="str">
        <f aca="false">IF(C499="","",IFERROR(INDEX(Unidades!$C$2:$C$218,MATCH(C499,Unidades!$A$2:$A$218,0)),""))</f>
        <v/>
      </c>
      <c r="F499" s="12"/>
      <c r="G499" s="12"/>
      <c r="H499" s="12"/>
      <c r="I499" s="12"/>
      <c r="J499" s="12"/>
      <c r="K499" s="19"/>
      <c r="L499" s="12"/>
      <c r="M499" s="11" t="str">
        <f aca="false">IF(L499="","",IFERROR(INDEX(Prioridade_SLA!$B$2:$B$5,MATCH(L499,Prioridade_SLA!$A$2:$A$5,0)),""))</f>
        <v/>
      </c>
      <c r="N499" s="16" t="str">
        <f aca="false">IF(OR(B499="",M499=""),"",B499+M499/24)</f>
        <v/>
      </c>
      <c r="O499" s="12"/>
      <c r="P499" s="12"/>
      <c r="Q499" s="18"/>
      <c r="R499" s="17" t="str">
        <f aca="false">IF(OR(B499="",Q499=""),"",(Q499-B499)*24)</f>
        <v/>
      </c>
      <c r="S499" s="11" t="str">
        <f aca="false">IF(OR(N499="",Q499=""),"",IF(Q499&lt;=N499,"Sim","Não"))</f>
        <v/>
      </c>
      <c r="T499" s="19"/>
      <c r="U499" s="12"/>
      <c r="V499" s="12"/>
    </row>
    <row r="500" customFormat="false" ht="15" hidden="false" customHeight="false" outlineLevel="0" collapsed="false">
      <c r="A500" s="12"/>
      <c r="B500" s="18"/>
      <c r="C500" s="12"/>
      <c r="D500" s="11" t="str">
        <f aca="false">IF(C500="","",IFERROR(INDEX(Unidades!$B$2:$B$218,MATCH(C500,Unidades!$A$2:$A$218,0)),"Código não encontrado"))</f>
        <v/>
      </c>
      <c r="E500" s="11" t="str">
        <f aca="false">IF(C500="","",IFERROR(INDEX(Unidades!$C$2:$C$218,MATCH(C500,Unidades!$A$2:$A$218,0)),""))</f>
        <v/>
      </c>
      <c r="F500" s="12"/>
      <c r="G500" s="12"/>
      <c r="H500" s="12"/>
      <c r="I500" s="12"/>
      <c r="J500" s="12"/>
      <c r="K500" s="19"/>
      <c r="L500" s="12"/>
      <c r="M500" s="11" t="str">
        <f aca="false">IF(L500="","",IFERROR(INDEX(Prioridade_SLA!$B$2:$B$5,MATCH(L500,Prioridade_SLA!$A$2:$A$5,0)),""))</f>
        <v/>
      </c>
      <c r="N500" s="16" t="str">
        <f aca="false">IF(OR(B500="",M500=""),"",B500+M500/24)</f>
        <v/>
      </c>
      <c r="O500" s="12"/>
      <c r="P500" s="12"/>
      <c r="Q500" s="18"/>
      <c r="R500" s="17" t="str">
        <f aca="false">IF(OR(B500="",Q500=""),"",(Q500-B500)*24)</f>
        <v/>
      </c>
      <c r="S500" s="11" t="str">
        <f aca="false">IF(OR(N500="",Q500=""),"",IF(Q500&lt;=N500,"Sim","Não"))</f>
        <v/>
      </c>
      <c r="T500" s="19"/>
      <c r="U500" s="12"/>
      <c r="V500" s="12"/>
    </row>
    <row r="501" customFormat="false" ht="15" hidden="false" customHeight="false" outlineLevel="0" collapsed="false">
      <c r="A501" s="12"/>
      <c r="B501" s="18"/>
      <c r="C501" s="12"/>
      <c r="D501" s="11" t="str">
        <f aca="false">IF(C501="","",IFERROR(INDEX(Unidades!$B$2:$B$218,MATCH(C501,Unidades!$A$2:$A$218,0)),"Código não encontrado"))</f>
        <v/>
      </c>
      <c r="E501" s="11" t="str">
        <f aca="false">IF(C501="","",IFERROR(INDEX(Unidades!$C$2:$C$218,MATCH(C501,Unidades!$A$2:$A$218,0)),""))</f>
        <v/>
      </c>
      <c r="F501" s="12"/>
      <c r="G501" s="12"/>
      <c r="H501" s="12"/>
      <c r="I501" s="12"/>
      <c r="J501" s="12"/>
      <c r="K501" s="19"/>
      <c r="L501" s="12"/>
      <c r="M501" s="11" t="str">
        <f aca="false">IF(L501="","",IFERROR(INDEX(Prioridade_SLA!$B$2:$B$5,MATCH(L501,Prioridade_SLA!$A$2:$A$5,0)),""))</f>
        <v/>
      </c>
      <c r="N501" s="16" t="str">
        <f aca="false">IF(OR(B501="",M501=""),"",B501+M501/24)</f>
        <v/>
      </c>
      <c r="O501" s="12"/>
      <c r="P501" s="12"/>
      <c r="Q501" s="18"/>
      <c r="R501" s="17" t="str">
        <f aca="false">IF(OR(B501="",Q501=""),"",(Q501-B501)*24)</f>
        <v/>
      </c>
      <c r="S501" s="11" t="str">
        <f aca="false">IF(OR(N501="",Q501=""),"",IF(Q501&lt;=N501,"Sim","Não"))</f>
        <v/>
      </c>
      <c r="T501" s="19"/>
      <c r="U501" s="12"/>
      <c r="V501" s="12"/>
    </row>
  </sheetData>
  <autoFilter ref="A1:V501"/>
  <dataValidations count="5">
    <dataValidation allowBlank="true" errorStyle="stop" operator="between" showDropDown="false" showErrorMessage="false" showInputMessage="false" sqref="C2:C501" type="list">
      <formula1>Unidades!$A$2:$A$218</formula1>
      <formula2>0</formula2>
    </dataValidation>
    <dataValidation allowBlank="true" errorStyle="stop" operator="between" showDropDown="false" showErrorMessage="false" showInputMessage="false" sqref="H2:H501" type="list">
      <formula1>Listas!$A$2:$A$10</formula1>
      <formula2>0</formula2>
    </dataValidation>
    <dataValidation allowBlank="true" errorStyle="stop" operator="between" showDropDown="false" showErrorMessage="false" showInputMessage="false" sqref="I2:I501" type="list">
      <formula1>Listas!$B$2:$B$35</formula1>
      <formula2>0</formula2>
    </dataValidation>
    <dataValidation allowBlank="true" errorStyle="stop" operator="between" showDropDown="false" showErrorMessage="false" showInputMessage="false" sqref="L2:L501" type="list">
      <formula1>Listas!$C$2:$C$5</formula1>
      <formula2>0</formula2>
    </dataValidation>
    <dataValidation allowBlank="true" errorStyle="stop" operator="between" showDropDown="false" showErrorMessage="false" showInputMessage="false" sqref="O2:O501" type="list">
      <formula1>Listas!$D$2:$D$7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30" hidden="false" customHeight="true" outlineLevel="0" collapsed="false">
      <c r="A1" s="3" t="s">
        <v>348</v>
      </c>
      <c r="B1" s="3" t="s">
        <v>278</v>
      </c>
      <c r="C1" s="3" t="s">
        <v>349</v>
      </c>
    </row>
    <row r="2" customFormat="false" ht="15" hidden="false" customHeight="false" outlineLevel="0" collapsed="false">
      <c r="A2" s="20" t="n">
        <v>1</v>
      </c>
      <c r="B2" s="4" t="s">
        <v>350</v>
      </c>
      <c r="C2" s="5" t="s">
        <v>351</v>
      </c>
    </row>
    <row r="3" customFormat="false" ht="15" hidden="false" customHeight="false" outlineLevel="0" collapsed="false">
      <c r="A3" s="20" t="n">
        <v>2</v>
      </c>
      <c r="B3" s="4" t="s">
        <v>352</v>
      </c>
      <c r="C3" s="5" t="s">
        <v>353</v>
      </c>
    </row>
    <row r="4" customFormat="false" ht="15" hidden="false" customHeight="false" outlineLevel="0" collapsed="false">
      <c r="A4" s="20" t="n">
        <v>3</v>
      </c>
      <c r="B4" s="4" t="s">
        <v>354</v>
      </c>
      <c r="C4" s="5" t="s">
        <v>355</v>
      </c>
    </row>
    <row r="5" customFormat="false" ht="15" hidden="false" customHeight="false" outlineLevel="0" collapsed="false">
      <c r="A5" s="20" t="n">
        <v>4</v>
      </c>
      <c r="B5" s="4" t="s">
        <v>356</v>
      </c>
      <c r="C5" s="5" t="s">
        <v>357</v>
      </c>
    </row>
    <row r="6" customFormat="false" ht="15" hidden="false" customHeight="false" outlineLevel="0" collapsed="false">
      <c r="A6" s="20" t="n">
        <v>5</v>
      </c>
      <c r="B6" s="4" t="s">
        <v>344</v>
      </c>
      <c r="C6" s="5" t="s">
        <v>358</v>
      </c>
    </row>
    <row r="7" customFormat="false" ht="15" hidden="false" customHeight="false" outlineLevel="0" collapsed="false">
      <c r="A7" s="20" t="n">
        <v>6</v>
      </c>
      <c r="B7" s="4" t="s">
        <v>359</v>
      </c>
      <c r="C7" s="5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361</v>
      </c>
    </row>
    <row r="3" customFormat="false" ht="15" hidden="false" customHeight="false" outlineLevel="0" collapsed="false">
      <c r="A3" s="21" t="s">
        <v>362</v>
      </c>
      <c r="B3" s="22" t="n">
        <f aca="false">COUNTA(Chamados!$A$2:$A$501)</f>
        <v>1</v>
      </c>
    </row>
    <row r="4" customFormat="false" ht="15" hidden="false" customHeight="false" outlineLevel="0" collapsed="false">
      <c r="A4" s="21" t="s">
        <v>363</v>
      </c>
      <c r="B4" s="22" t="n">
        <f aca="false">B3-COUNTIF(Chamados!$O$2:$O$501,"Resolvido")-COUNTIF(Chamados!$O$2:$O$501,"Fechado")</f>
        <v>0</v>
      </c>
    </row>
    <row r="5" customFormat="false" ht="15" hidden="false" customHeight="false" outlineLevel="0" collapsed="false">
      <c r="A5" s="21" t="s">
        <v>364</v>
      </c>
      <c r="B5" s="22" t="n">
        <f aca="false">COUNTIF(Chamados!$O$2:$O$501,"Resolvido")+COUNTIF(Chamados!$O$2:$O$501,"Fechado")</f>
        <v>1</v>
      </c>
    </row>
    <row r="6" customFormat="false" ht="15" hidden="false" customHeight="false" outlineLevel="0" collapsed="false">
      <c r="A6" s="21" t="s">
        <v>365</v>
      </c>
      <c r="B6" s="23" t="n">
        <f aca="false">IFERROR(COUNTIF(Chamados!$S$2:$S$501,"Sim")/(COUNTIF(Chamados!$S$2:$S$501,"Sim")+COUNTIF(Chamados!$S$2:$S$501,"Não")),0)</f>
        <v>1</v>
      </c>
    </row>
    <row r="7" customFormat="false" ht="15" hidden="false" customHeight="false" outlineLevel="0" collapsed="false">
      <c r="A7" s="21" t="s">
        <v>366</v>
      </c>
      <c r="B7" s="24" t="n">
        <f aca="false">IFERROR(AVERAGE(Chamados!$R$2:$R$501),0)</f>
        <v>2.5</v>
      </c>
    </row>
    <row r="10" customFormat="false" ht="15" hidden="false" customHeight="false" outlineLevel="0" collapsed="false">
      <c r="A10" s="6" t="s">
        <v>367</v>
      </c>
    </row>
    <row r="11" customFormat="false" ht="15" hidden="false" customHeight="false" outlineLevel="0" collapsed="false">
      <c r="A11" s="25" t="s">
        <v>368</v>
      </c>
      <c r="B11" s="25" t="s">
        <v>12</v>
      </c>
    </row>
    <row r="12" customFormat="false" ht="15" hidden="false" customHeight="false" outlineLevel="0" collapsed="false">
      <c r="A12" s="26" t="s">
        <v>350</v>
      </c>
      <c r="B12" s="26" t="n">
        <f aca="false">COUNTIF(Chamados!$O$2:$O$501,A12)</f>
        <v>0</v>
      </c>
    </row>
    <row r="13" customFormat="false" ht="15" hidden="false" customHeight="false" outlineLevel="0" collapsed="false">
      <c r="A13" s="26" t="s">
        <v>352</v>
      </c>
      <c r="B13" s="26" t="n">
        <f aca="false">COUNTIF(Chamados!$O$2:$O$501,A13)</f>
        <v>0</v>
      </c>
    </row>
    <row r="14" customFormat="false" ht="15" hidden="false" customHeight="false" outlineLevel="0" collapsed="false">
      <c r="A14" s="26" t="s">
        <v>354</v>
      </c>
      <c r="B14" s="26" t="n">
        <f aca="false">COUNTIF(Chamados!$O$2:$O$501,A14)</f>
        <v>0</v>
      </c>
    </row>
    <row r="15" customFormat="false" ht="15" hidden="false" customHeight="false" outlineLevel="0" collapsed="false">
      <c r="A15" s="26" t="s">
        <v>356</v>
      </c>
      <c r="B15" s="26" t="n">
        <f aca="false">COUNTIF(Chamados!$O$2:$O$501,A15)</f>
        <v>0</v>
      </c>
    </row>
    <row r="16" customFormat="false" ht="15" hidden="false" customHeight="false" outlineLevel="0" collapsed="false">
      <c r="A16" s="26" t="s">
        <v>344</v>
      </c>
      <c r="B16" s="26" t="n">
        <f aca="false">COUNTIF(Chamados!$O$2:$O$501,A16)</f>
        <v>1</v>
      </c>
    </row>
    <row r="17" customFormat="false" ht="15" hidden="false" customHeight="false" outlineLevel="0" collapsed="false">
      <c r="A17" s="26" t="s">
        <v>359</v>
      </c>
      <c r="B17" s="26" t="n">
        <f aca="false">COUNTIF(Chamados!$O$2:$O$501,A17)</f>
        <v>0</v>
      </c>
    </row>
    <row r="20" customFormat="false" ht="15" hidden="false" customHeight="false" outlineLevel="0" collapsed="false">
      <c r="A20" s="6" t="s">
        <v>369</v>
      </c>
    </row>
    <row r="21" customFormat="false" ht="15" hidden="false" customHeight="false" outlineLevel="0" collapsed="false">
      <c r="A21" s="25" t="s">
        <v>368</v>
      </c>
      <c r="B21" s="25" t="s">
        <v>12</v>
      </c>
      <c r="C21" s="25" t="s">
        <v>370</v>
      </c>
    </row>
    <row r="22" customFormat="false" ht="15" hidden="false" customHeight="false" outlineLevel="0" collapsed="false">
      <c r="A22" s="26" t="s">
        <v>286</v>
      </c>
      <c r="B22" s="26" t="n">
        <f aca="false">COUNTIF(Chamados!$H$2:$H$501,A22)</f>
        <v>0</v>
      </c>
      <c r="C22" s="27" t="n">
        <f aca="false">IFERROR(AVERAGEIFS(Chamados!$R$2:$R$501,Chamados!$H$2:$H$501,A22),0)</f>
        <v>0</v>
      </c>
    </row>
    <row r="23" customFormat="false" ht="15" hidden="false" customHeight="false" outlineLevel="0" collapsed="false">
      <c r="A23" s="26" t="s">
        <v>288</v>
      </c>
      <c r="B23" s="26" t="n">
        <f aca="false">COUNTIF(Chamados!$H$2:$H$501,A23)</f>
        <v>0</v>
      </c>
      <c r="C23" s="27" t="n">
        <f aca="false">IFERROR(AVERAGEIFS(Chamados!$R$2:$R$501,Chamados!$H$2:$H$501,A23),0)</f>
        <v>0</v>
      </c>
    </row>
    <row r="24" customFormat="false" ht="15" hidden="false" customHeight="false" outlineLevel="0" collapsed="false">
      <c r="A24" s="26" t="s">
        <v>290</v>
      </c>
      <c r="B24" s="26" t="n">
        <f aca="false">COUNTIF(Chamados!$H$2:$H$501,A24)</f>
        <v>0</v>
      </c>
      <c r="C24" s="27" t="n">
        <f aca="false">IFERROR(AVERAGEIFS(Chamados!$R$2:$R$501,Chamados!$H$2:$H$501,A24),0)</f>
        <v>0</v>
      </c>
    </row>
    <row r="25" customFormat="false" ht="15" hidden="false" customHeight="false" outlineLevel="0" collapsed="false">
      <c r="A25" s="26" t="s">
        <v>280</v>
      </c>
      <c r="B25" s="26" t="n">
        <f aca="false">COUNTIF(Chamados!$H$2:$H$501,A25)</f>
        <v>1</v>
      </c>
      <c r="C25" s="27" t="n">
        <f aca="false">IFERROR(AVERAGEIFS(Chamados!$R$2:$R$501,Chamados!$H$2:$H$501,A25),0)</f>
        <v>2.5</v>
      </c>
    </row>
    <row r="26" customFormat="false" ht="15" hidden="false" customHeight="false" outlineLevel="0" collapsed="false">
      <c r="A26" s="26" t="s">
        <v>293</v>
      </c>
      <c r="B26" s="26" t="n">
        <f aca="false">COUNTIF(Chamados!$H$2:$H$501,A26)</f>
        <v>0</v>
      </c>
      <c r="C26" s="27" t="n">
        <f aca="false">IFERROR(AVERAGEIFS(Chamados!$R$2:$R$501,Chamados!$H$2:$H$501,A26),0)</f>
        <v>0</v>
      </c>
    </row>
    <row r="27" customFormat="false" ht="15" hidden="false" customHeight="false" outlineLevel="0" collapsed="false">
      <c r="A27" s="26" t="s">
        <v>295</v>
      </c>
      <c r="B27" s="26" t="n">
        <f aca="false">COUNTIF(Chamados!$H$2:$H$501,A27)</f>
        <v>0</v>
      </c>
      <c r="C27" s="27" t="n">
        <f aca="false">IFERROR(AVERAGEIFS(Chamados!$R$2:$R$501,Chamados!$H$2:$H$501,A27),0)</f>
        <v>0</v>
      </c>
    </row>
    <row r="28" customFormat="false" ht="15" hidden="false" customHeight="false" outlineLevel="0" collapsed="false">
      <c r="A28" s="26" t="s">
        <v>297</v>
      </c>
      <c r="B28" s="26" t="n">
        <f aca="false">COUNTIF(Chamados!$H$2:$H$501,A28)</f>
        <v>0</v>
      </c>
      <c r="C28" s="27" t="n">
        <f aca="false">IFERROR(AVERAGEIFS(Chamados!$R$2:$R$501,Chamados!$H$2:$H$501,A28),0)</f>
        <v>0</v>
      </c>
    </row>
    <row r="29" customFormat="false" ht="15" hidden="false" customHeight="false" outlineLevel="0" collapsed="false">
      <c r="A29" s="26" t="s">
        <v>299</v>
      </c>
      <c r="B29" s="26" t="n">
        <f aca="false">COUNTIF(Chamados!$H$2:$H$501,A29)</f>
        <v>0</v>
      </c>
      <c r="C29" s="27" t="n">
        <f aca="false">IFERROR(AVERAGEIFS(Chamados!$R$2:$R$501,Chamados!$H$2:$H$501,A29),0)</f>
        <v>0</v>
      </c>
    </row>
    <row r="30" customFormat="false" ht="15" hidden="false" customHeight="false" outlineLevel="0" collapsed="false">
      <c r="A30" s="26" t="s">
        <v>301</v>
      </c>
      <c r="B30" s="26" t="n">
        <f aca="false">COUNTIF(Chamados!$H$2:$H$501,A30)</f>
        <v>0</v>
      </c>
      <c r="C30" s="27" t="n">
        <f aca="false">IFERROR(AVERAGEIFS(Chamados!$R$2:$R$501,Chamados!$H$2:$H$501,A30),0)</f>
        <v>0</v>
      </c>
    </row>
    <row r="33" customFormat="false" ht="15" hidden="false" customHeight="false" outlineLevel="0" collapsed="false">
      <c r="A33" s="6" t="s">
        <v>371</v>
      </c>
    </row>
    <row r="34" customFormat="false" ht="15" hidden="false" customHeight="false" outlineLevel="0" collapsed="false">
      <c r="A34" s="25" t="s">
        <v>368</v>
      </c>
      <c r="B34" s="25" t="s">
        <v>12</v>
      </c>
      <c r="C34" s="25" t="s">
        <v>370</v>
      </c>
    </row>
    <row r="35" customFormat="false" ht="15" hidden="false" customHeight="false" outlineLevel="0" collapsed="false">
      <c r="A35" s="26" t="s">
        <v>50</v>
      </c>
      <c r="B35" s="26" t="n">
        <f aca="false">COUNTIF(Chamados!$E$2:$E$501,A35)</f>
        <v>1</v>
      </c>
      <c r="C35" s="27" t="n">
        <f aca="false">IFERROR(AVERAGEIFS(Chamados!$R$2:$R$501,Chamados!$E$2:$E$501,A35),0)</f>
        <v>2.5</v>
      </c>
    </row>
    <row r="36" customFormat="false" ht="15" hidden="false" customHeight="false" outlineLevel="0" collapsed="false">
      <c r="A36" s="26" t="s">
        <v>372</v>
      </c>
      <c r="B36" s="26" t="n">
        <f aca="false">COUNTIF(Chamados!$E$2:$E$501,A36)</f>
        <v>0</v>
      </c>
      <c r="C36" s="27" t="n">
        <f aca="false">IFERROR(AVERAGEIFS(Chamados!$R$2:$R$501,Chamados!$E$2:$E$501,A36),0)</f>
        <v>0</v>
      </c>
    </row>
    <row r="37" customFormat="false" ht="15" hidden="false" customHeight="false" outlineLevel="0" collapsed="false">
      <c r="A37" s="26" t="s">
        <v>373</v>
      </c>
      <c r="B37" s="26" t="n">
        <f aca="false">COUNTIF(Chamados!$E$2:$E$501,A37)</f>
        <v>0</v>
      </c>
      <c r="C37" s="27" t="n">
        <f aca="false">IFERROR(AVERAGEIFS(Chamados!$R$2:$R$501,Chamados!$E$2:$E$501,A37),0)</f>
        <v>0</v>
      </c>
    </row>
    <row r="40" customFormat="false" ht="15" hidden="false" customHeight="false" outlineLevel="0" collapsed="false">
      <c r="A40" s="6" t="s">
        <v>374</v>
      </c>
    </row>
    <row r="41" customFormat="false" ht="15" hidden="false" customHeight="false" outlineLevel="0" collapsed="false">
      <c r="A41" s="25" t="s">
        <v>368</v>
      </c>
      <c r="B41" s="25" t="s">
        <v>12</v>
      </c>
      <c r="C41" s="25" t="s">
        <v>370</v>
      </c>
    </row>
    <row r="42" customFormat="false" ht="15" hidden="false" customHeight="false" outlineLevel="0" collapsed="false">
      <c r="A42" s="26" t="s">
        <v>307</v>
      </c>
      <c r="B42" s="26" t="n">
        <f aca="false">COUNTIF(Chamados!$L$2:$L$501,A42)</f>
        <v>0</v>
      </c>
      <c r="C42" s="27" t="n">
        <f aca="false">IFERROR(AVERAGEIFS(Chamados!$R$2:$R$501,Chamados!$L$2:$L$501,A42),0)</f>
        <v>0</v>
      </c>
    </row>
    <row r="43" customFormat="false" ht="15" hidden="false" customHeight="false" outlineLevel="0" collapsed="false">
      <c r="A43" s="26" t="s">
        <v>310</v>
      </c>
      <c r="B43" s="26" t="n">
        <f aca="false">COUNTIF(Chamados!$L$2:$L$501,A43)</f>
        <v>1</v>
      </c>
      <c r="C43" s="27" t="n">
        <f aca="false">IFERROR(AVERAGEIFS(Chamados!$R$2:$R$501,Chamados!$L$2:$L$501,A43),0)</f>
        <v>2.5</v>
      </c>
    </row>
    <row r="44" customFormat="false" ht="15" hidden="false" customHeight="false" outlineLevel="0" collapsed="false">
      <c r="A44" s="26" t="s">
        <v>313</v>
      </c>
      <c r="B44" s="26" t="n">
        <f aca="false">COUNTIF(Chamados!$L$2:$L$501,A44)</f>
        <v>0</v>
      </c>
      <c r="C44" s="27" t="n">
        <f aca="false">IFERROR(AVERAGEIFS(Chamados!$R$2:$R$501,Chamados!$L$2:$L$501,A44),0)</f>
        <v>0</v>
      </c>
    </row>
    <row r="45" customFormat="false" ht="15" hidden="false" customHeight="false" outlineLevel="0" collapsed="false">
      <c r="A45" s="26" t="s">
        <v>316</v>
      </c>
      <c r="B45" s="26" t="n">
        <f aca="false">COUNTIF(Chamados!$L$2:$L$501,A45)</f>
        <v>0</v>
      </c>
      <c r="C45" s="27" t="n">
        <f aca="false">IFERROR(AVERAGEIFS(Chamados!$R$2:$R$501,Chamados!$L$2:$L$501,A45),0)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  <col collapsed="false" customWidth="true" hidden="false" outlineLevel="0" max="3" min="3" style="0" width="16"/>
  </cols>
  <sheetData>
    <row r="1" customFormat="false" ht="30" hidden="false" customHeight="true" outlineLevel="0" collapsed="false">
      <c r="A1" s="3" t="s">
        <v>375</v>
      </c>
      <c r="B1" s="3" t="s">
        <v>329</v>
      </c>
      <c r="C1" s="3" t="s">
        <v>278</v>
      </c>
    </row>
    <row r="2" customFormat="false" ht="15" hidden="false" customHeight="false" outlineLevel="0" collapsed="false">
      <c r="A2" s="4" t="s">
        <v>376</v>
      </c>
      <c r="B2" s="5" t="s">
        <v>377</v>
      </c>
      <c r="C2" s="19" t="s">
        <v>378</v>
      </c>
    </row>
    <row r="3" customFormat="false" ht="15" hidden="false" customHeight="false" outlineLevel="0" collapsed="false">
      <c r="A3" s="4" t="s">
        <v>379</v>
      </c>
      <c r="B3" s="5" t="s">
        <v>380</v>
      </c>
      <c r="C3" s="19" t="s">
        <v>378</v>
      </c>
    </row>
    <row r="4" customFormat="false" ht="15" hidden="false" customHeight="false" outlineLevel="0" collapsed="false">
      <c r="A4" s="4" t="s">
        <v>381</v>
      </c>
      <c r="B4" s="5" t="s">
        <v>382</v>
      </c>
      <c r="C4" s="19" t="s">
        <v>378</v>
      </c>
    </row>
    <row r="5" customFormat="false" ht="15" hidden="false" customHeight="false" outlineLevel="0" collapsed="false">
      <c r="A5" s="4" t="s">
        <v>16</v>
      </c>
      <c r="B5" s="5" t="s">
        <v>383</v>
      </c>
      <c r="C5" s="19" t="s">
        <v>378</v>
      </c>
    </row>
    <row r="6" customFormat="false" ht="15" hidden="false" customHeight="false" outlineLevel="0" collapsed="false">
      <c r="A6" s="4" t="s">
        <v>384</v>
      </c>
      <c r="B6" s="5" t="s">
        <v>385</v>
      </c>
      <c r="C6" s="19" t="s">
        <v>378</v>
      </c>
    </row>
    <row r="7" customFormat="false" ht="15" hidden="false" customHeight="false" outlineLevel="0" collapsed="false">
      <c r="A7" s="4" t="s">
        <v>386</v>
      </c>
      <c r="B7" s="5" t="s">
        <v>387</v>
      </c>
      <c r="C7" s="19" t="s">
        <v>378</v>
      </c>
    </row>
    <row r="8" customFormat="false" ht="15" hidden="false" customHeight="false" outlineLevel="0" collapsed="false">
      <c r="A8" s="4" t="s">
        <v>388</v>
      </c>
      <c r="B8" s="5" t="s">
        <v>389</v>
      </c>
      <c r="C8" s="19" t="s">
        <v>378</v>
      </c>
    </row>
    <row r="9" customFormat="false" ht="15" hidden="false" customHeight="false" outlineLevel="0" collapsed="false">
      <c r="A9" s="4" t="s">
        <v>390</v>
      </c>
      <c r="B9" s="5" t="s">
        <v>391</v>
      </c>
      <c r="C9" s="19" t="s">
        <v>378</v>
      </c>
    </row>
  </sheetData>
  <dataValidations count="1">
    <dataValidation allowBlank="false" errorStyle="stop" operator="between" showDropDown="false" showErrorMessage="false" showInputMessage="false" sqref="C2:C9" type="list">
      <formula1>Listas!$H$2:$H$4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50"/>
  </cols>
  <sheetData>
    <row r="1" customFormat="false" ht="30" hidden="false" customHeight="true" outlineLevel="0" collapsed="false">
      <c r="A1" s="3" t="s">
        <v>392</v>
      </c>
      <c r="B1" s="3" t="s">
        <v>393</v>
      </c>
      <c r="C1" s="3" t="s">
        <v>394</v>
      </c>
      <c r="D1" s="3" t="s">
        <v>395</v>
      </c>
    </row>
    <row r="2" customFormat="false" ht="23.85" hidden="false" customHeight="false" outlineLevel="0" collapsed="false">
      <c r="A2" s="4" t="s">
        <v>396</v>
      </c>
      <c r="B2" s="5" t="s">
        <v>397</v>
      </c>
      <c r="C2" s="5" t="s">
        <v>398</v>
      </c>
      <c r="D2" s="5" t="s">
        <v>399</v>
      </c>
    </row>
    <row r="3" customFormat="false" ht="23.85" hidden="false" customHeight="false" outlineLevel="0" collapsed="false">
      <c r="A3" s="4" t="s">
        <v>400</v>
      </c>
      <c r="B3" s="5" t="s">
        <v>401</v>
      </c>
      <c r="C3" s="5" t="s">
        <v>402</v>
      </c>
      <c r="D3" s="5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8"/>
  </cols>
  <sheetData>
    <row r="1" customFormat="false" ht="15" hidden="false" customHeight="false" outlineLevel="0" collapsed="false">
      <c r="A1" s="28" t="s">
        <v>8</v>
      </c>
      <c r="B1" s="28" t="s">
        <v>404</v>
      </c>
      <c r="C1" s="28" t="s">
        <v>405</v>
      </c>
      <c r="D1" s="28" t="s">
        <v>278</v>
      </c>
      <c r="E1" s="28" t="s">
        <v>406</v>
      </c>
      <c r="F1" s="28" t="s">
        <v>407</v>
      </c>
      <c r="G1" s="28" t="s">
        <v>408</v>
      </c>
      <c r="H1" s="28" t="s">
        <v>409</v>
      </c>
    </row>
    <row r="2" customFormat="false" ht="15" hidden="false" customHeight="false" outlineLevel="0" collapsed="false">
      <c r="A2" s="2" t="s">
        <v>286</v>
      </c>
      <c r="B2" s="2" t="s">
        <v>410</v>
      </c>
      <c r="C2" s="2" t="s">
        <v>307</v>
      </c>
      <c r="D2" s="2" t="s">
        <v>350</v>
      </c>
      <c r="E2" s="2" t="s">
        <v>50</v>
      </c>
      <c r="F2" s="2" t="s">
        <v>280</v>
      </c>
      <c r="G2" s="2" t="s">
        <v>283</v>
      </c>
      <c r="H2" s="2" t="s">
        <v>378</v>
      </c>
    </row>
    <row r="3" customFormat="false" ht="15" hidden="false" customHeight="false" outlineLevel="0" collapsed="false">
      <c r="A3" s="2" t="s">
        <v>288</v>
      </c>
      <c r="B3" s="2" t="s">
        <v>411</v>
      </c>
      <c r="C3" s="2" t="s">
        <v>310</v>
      </c>
      <c r="D3" s="2" t="s">
        <v>352</v>
      </c>
      <c r="E3" s="2" t="s">
        <v>372</v>
      </c>
      <c r="F3" s="2" t="s">
        <v>412</v>
      </c>
      <c r="G3" s="2" t="s">
        <v>413</v>
      </c>
      <c r="H3" s="2" t="s">
        <v>414</v>
      </c>
    </row>
    <row r="4" customFormat="false" ht="15" hidden="false" customHeight="false" outlineLevel="0" collapsed="false">
      <c r="A4" s="2" t="s">
        <v>290</v>
      </c>
      <c r="B4" s="2" t="s">
        <v>415</v>
      </c>
      <c r="C4" s="2" t="s">
        <v>313</v>
      </c>
      <c r="D4" s="2" t="s">
        <v>354</v>
      </c>
      <c r="E4" s="2" t="s">
        <v>373</v>
      </c>
      <c r="F4" s="2" t="s">
        <v>416</v>
      </c>
      <c r="G4" s="2" t="s">
        <v>417</v>
      </c>
      <c r="H4" s="2" t="s">
        <v>418</v>
      </c>
    </row>
    <row r="5" customFormat="false" ht="15" hidden="false" customHeight="false" outlineLevel="0" collapsed="false">
      <c r="A5" s="2" t="s">
        <v>280</v>
      </c>
      <c r="B5" s="2" t="s">
        <v>419</v>
      </c>
      <c r="C5" s="2" t="s">
        <v>316</v>
      </c>
      <c r="D5" s="2" t="s">
        <v>356</v>
      </c>
      <c r="F5" s="2" t="s">
        <v>420</v>
      </c>
      <c r="G5" s="2" t="s">
        <v>421</v>
      </c>
    </row>
    <row r="6" customFormat="false" ht="15" hidden="false" customHeight="false" outlineLevel="0" collapsed="false">
      <c r="A6" s="2" t="s">
        <v>293</v>
      </c>
      <c r="B6" s="2" t="s">
        <v>422</v>
      </c>
      <c r="D6" s="2" t="s">
        <v>344</v>
      </c>
      <c r="F6" s="2" t="s">
        <v>423</v>
      </c>
    </row>
    <row r="7" customFormat="false" ht="15" hidden="false" customHeight="false" outlineLevel="0" collapsed="false">
      <c r="A7" s="2" t="s">
        <v>295</v>
      </c>
      <c r="B7" s="2" t="s">
        <v>424</v>
      </c>
      <c r="D7" s="2" t="s">
        <v>359</v>
      </c>
      <c r="F7" s="2" t="s">
        <v>425</v>
      </c>
    </row>
    <row r="8" customFormat="false" ht="15" hidden="false" customHeight="false" outlineLevel="0" collapsed="false">
      <c r="A8" s="2" t="s">
        <v>297</v>
      </c>
      <c r="B8" s="2" t="s">
        <v>426</v>
      </c>
      <c r="F8" s="2" t="s">
        <v>427</v>
      </c>
    </row>
    <row r="9" customFormat="false" ht="15" hidden="false" customHeight="false" outlineLevel="0" collapsed="false">
      <c r="A9" s="2" t="s">
        <v>299</v>
      </c>
      <c r="B9" s="2" t="s">
        <v>428</v>
      </c>
      <c r="F9" s="2" t="s">
        <v>429</v>
      </c>
    </row>
    <row r="10" customFormat="false" ht="15" hidden="false" customHeight="false" outlineLevel="0" collapsed="false">
      <c r="A10" s="2" t="s">
        <v>301</v>
      </c>
      <c r="B10" s="2" t="s">
        <v>430</v>
      </c>
      <c r="F10" s="2" t="s">
        <v>431</v>
      </c>
    </row>
    <row r="11" customFormat="false" ht="15" hidden="false" customHeight="false" outlineLevel="0" collapsed="false">
      <c r="B11" s="2" t="s">
        <v>432</v>
      </c>
      <c r="F11" s="2" t="s">
        <v>433</v>
      </c>
    </row>
    <row r="12" customFormat="false" ht="15" hidden="false" customHeight="false" outlineLevel="0" collapsed="false">
      <c r="B12" s="2" t="s">
        <v>416</v>
      </c>
      <c r="F12" s="2" t="s">
        <v>434</v>
      </c>
    </row>
    <row r="13" customFormat="false" ht="15" hidden="false" customHeight="false" outlineLevel="0" collapsed="false">
      <c r="B13" s="2" t="s">
        <v>435</v>
      </c>
    </row>
    <row r="14" customFormat="false" ht="15" hidden="false" customHeight="false" outlineLevel="0" collapsed="false">
      <c r="B14" s="2" t="s">
        <v>420</v>
      </c>
    </row>
    <row r="15" customFormat="false" ht="15" hidden="false" customHeight="false" outlineLevel="0" collapsed="false">
      <c r="B15" s="2" t="s">
        <v>436</v>
      </c>
    </row>
    <row r="16" customFormat="false" ht="15" hidden="false" customHeight="false" outlineLevel="0" collapsed="false">
      <c r="B16" s="2" t="s">
        <v>427</v>
      </c>
    </row>
    <row r="17" customFormat="false" ht="15" hidden="false" customHeight="false" outlineLevel="0" collapsed="false">
      <c r="B17" s="2" t="s">
        <v>342</v>
      </c>
    </row>
    <row r="18" customFormat="false" ht="15" hidden="false" customHeight="false" outlineLevel="0" collapsed="false">
      <c r="B18" s="2" t="s">
        <v>437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B20" s="2" t="s">
        <v>439</v>
      </c>
    </row>
    <row r="21" customFormat="false" ht="15" hidden="false" customHeight="false" outlineLevel="0" collapsed="false">
      <c r="B21" s="2" t="s">
        <v>440</v>
      </c>
    </row>
    <row r="22" customFormat="false" ht="15" hidden="false" customHeight="false" outlineLevel="0" collapsed="false">
      <c r="B22" s="2" t="s">
        <v>441</v>
      </c>
    </row>
    <row r="23" customFormat="false" ht="15" hidden="false" customHeight="false" outlineLevel="0" collapsed="false">
      <c r="B23" s="2" t="s">
        <v>442</v>
      </c>
    </row>
    <row r="24" customFormat="false" ht="15" hidden="false" customHeight="false" outlineLevel="0" collapsed="false">
      <c r="B24" s="2" t="s">
        <v>443</v>
      </c>
    </row>
    <row r="25" customFormat="false" ht="15" hidden="false" customHeight="false" outlineLevel="0" collapsed="false">
      <c r="B25" s="2" t="s">
        <v>444</v>
      </c>
    </row>
    <row r="26" customFormat="false" ht="15" hidden="false" customHeight="false" outlineLevel="0" collapsed="false">
      <c r="B26" s="2" t="s">
        <v>445</v>
      </c>
    </row>
    <row r="27" customFormat="false" ht="15" hidden="false" customHeight="false" outlineLevel="0" collapsed="false">
      <c r="B27" s="2" t="s">
        <v>446</v>
      </c>
    </row>
    <row r="28" customFormat="false" ht="15" hidden="false" customHeight="false" outlineLevel="0" collapsed="false">
      <c r="B28" s="2" t="s">
        <v>447</v>
      </c>
    </row>
    <row r="29" customFormat="false" ht="15" hidden="false" customHeight="false" outlineLevel="0" collapsed="false">
      <c r="B29" s="2" t="s">
        <v>448</v>
      </c>
    </row>
    <row r="30" customFormat="false" ht="15" hidden="false" customHeight="false" outlineLevel="0" collapsed="false">
      <c r="B30" s="2" t="s">
        <v>449</v>
      </c>
    </row>
    <row r="31" customFormat="false" ht="15" hidden="false" customHeight="false" outlineLevel="0" collapsed="false">
      <c r="B31" s="2" t="s">
        <v>450</v>
      </c>
    </row>
    <row r="32" customFormat="false" ht="15" hidden="false" customHeight="false" outlineLevel="0" collapsed="false">
      <c r="B32" s="2" t="s">
        <v>451</v>
      </c>
    </row>
    <row r="33" customFormat="false" ht="15" hidden="false" customHeight="false" outlineLevel="0" collapsed="false">
      <c r="B33" s="2" t="s">
        <v>452</v>
      </c>
    </row>
    <row r="34" customFormat="false" ht="15" hidden="false" customHeight="false" outlineLevel="0" collapsed="false">
      <c r="B34" s="2" t="s">
        <v>453</v>
      </c>
    </row>
    <row r="35" customFormat="false" ht="15" hidden="false" customHeight="false" outlineLevel="0" collapsed="false">
      <c r="B35" s="2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2026-10-07T23:59:47Z</dcterms:created>
  <dc:creator>openpyxl</dc:creator>
  <dc:description/>
  <dc:language>en-US</dc:language>
  <cp:lastModifiedBy/>
  <dcterms:modified xsi:type="dcterms:W3CDTF">2026-10-07T23:59:51Z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